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ashboard" state="visible" r:id="rId4"/>
    <sheet sheetId="2" name="Ad Campaign Report" state="visible" r:id="rId5"/>
    <sheet sheetId="3" name="Search Term Report" state="visible" r:id="rId6"/>
  </sheets>
  <calcPr calcId="171027"/>
</workbook>
</file>

<file path=xl/sharedStrings.xml><?xml version="1.0" encoding="utf-8"?>
<sst xmlns="http://schemas.openxmlformats.org/spreadsheetml/2006/main" count="629" uniqueCount="176">
  <si>
    <t>BRAND X — AMAZON PERFORMANCE DASHBOARD</t>
  </si>
  <si>
    <t>30-Day Performance Overview  |  Amazon UK  |  6 Active SKUs  |  Confidential</t>
  </si>
  <si>
    <t>TOTAL REVENUE (30-DAY)</t>
  </si>
  <si>
    <t>TOTAL AD SPEND</t>
  </si>
  <si>
    <t>TOTAL UNITS ORDERED</t>
  </si>
  <si>
    <t>AVG CONVERSION RATE</t>
  </si>
  <si>
    <t>AVG ACoS</t>
  </si>
  <si>
    <t>AVG TACoS</t>
  </si>
  <si>
    <t>£80,320</t>
  </si>
  <si>
    <t>£15,904</t>
  </si>
  <si>
    <t>4,016</t>
  </si>
  <si>
    <t>14.0%</t>
  </si>
  <si>
    <t>33.3%</t>
  </si>
  <si>
    <t>19.8%</t>
  </si>
  <si>
    <t>SKU</t>
  </si>
  <si>
    <t>Product Name</t>
  </si>
  <si>
    <t>Sessions</t>
  </si>
  <si>
    <t>Conv %</t>
  </si>
  <si>
    <t>Units</t>
  </si>
  <si>
    <t>Revenue (£)</t>
  </si>
  <si>
    <t>Ad Spend (£)</t>
  </si>
  <si>
    <t>Impressions</t>
  </si>
  <si>
    <t>Clicks</t>
  </si>
  <si>
    <t>ACoS %</t>
  </si>
  <si>
    <t>TACoS %</t>
  </si>
  <si>
    <t xml:space="preserve">No. of
Campaigns</t>
  </si>
  <si>
    <t>BX-003</t>
  </si>
  <si>
    <t>Collagen Peptides 300g</t>
  </si>
  <si>
    <t>BX-001</t>
  </si>
  <si>
    <t>Immune Booster 60ct</t>
  </si>
  <si>
    <t>BX-005</t>
  </si>
  <si>
    <t>Magnesium Glycinate 90ct</t>
  </si>
  <si>
    <t>BX-007</t>
  </si>
  <si>
    <t>Multivitamin Men 90ct</t>
  </si>
  <si>
    <t>BX-010</t>
  </si>
  <si>
    <t>Biotin 10000mcg 60ct</t>
  </si>
  <si>
    <t>BX-009</t>
  </si>
  <si>
    <t>Turmeric Curcumin 90ct</t>
  </si>
  <si>
    <t>TOTALS / AVERAGES</t>
  </si>
  <si>
    <t>SPONSORED ADS — CAMPAIGN SUMMARY REPORT (30-DAY)</t>
  </si>
  <si>
    <t>Campaign ID</t>
  </si>
  <si>
    <t>Campaign Name</t>
  </si>
  <si>
    <t>Ad Type</t>
  </si>
  <si>
    <t xml:space="preserve">Match
Type</t>
  </si>
  <si>
    <t>Spend (£)</t>
  </si>
  <si>
    <t>Sales (£)</t>
  </si>
  <si>
    <t>CTR %</t>
  </si>
  <si>
    <t>CVR %</t>
  </si>
  <si>
    <t>CPC (£)</t>
  </si>
  <si>
    <t>ROAS</t>
  </si>
  <si>
    <t xml:space="preserve">TOS Impr
Share %</t>
  </si>
  <si>
    <t xml:space="preserve">TOS Bid
Mult %</t>
  </si>
  <si>
    <t xml:space="preserve"># Search
Terms</t>
  </si>
  <si>
    <t>CPG-003-01</t>
  </si>
  <si>
    <t>Collagen | SP | Exact</t>
  </si>
  <si>
    <t>SP</t>
  </si>
  <si>
    <t>Exact</t>
  </si>
  <si>
    <t>CPG-003-02</t>
  </si>
  <si>
    <t>Collagen | SP | Broad</t>
  </si>
  <si>
    <t>Broad</t>
  </si>
  <si>
    <t>CPG-003-03</t>
  </si>
  <si>
    <t>Collagen | SP | Product Target</t>
  </si>
  <si>
    <t>Product</t>
  </si>
  <si>
    <t>CPG-003-04</t>
  </si>
  <si>
    <t>Collagen | SB | Brand</t>
  </si>
  <si>
    <t>SB</t>
  </si>
  <si>
    <t>CPG-001-01</t>
  </si>
  <si>
    <t>Immune | SP | Exact</t>
  </si>
  <si>
    <t>CPG-001-02</t>
  </si>
  <si>
    <t>Immune | SP | Phrase</t>
  </si>
  <si>
    <t>Phrase</t>
  </si>
  <si>
    <t>CPG-001-03</t>
  </si>
  <si>
    <t>Immune | SD | Retargeting</t>
  </si>
  <si>
    <t>SD</t>
  </si>
  <si>
    <t>Audience</t>
  </si>
  <si>
    <t>CPG-001-04</t>
  </si>
  <si>
    <t>Immune | SB Video | Phrase</t>
  </si>
  <si>
    <t>SB Video</t>
  </si>
  <si>
    <t>CPG-005-01</t>
  </si>
  <si>
    <t>Magnesium | SP | Exact</t>
  </si>
  <si>
    <t>CPG-005-02</t>
  </si>
  <si>
    <t>Magnesium | SP | Phrase</t>
  </si>
  <si>
    <t>CPG-005-03</t>
  </si>
  <si>
    <t>Magnesium | SP | Auto</t>
  </si>
  <si>
    <t>Auto</t>
  </si>
  <si>
    <t>CPG-007-01</t>
  </si>
  <si>
    <t>MensMV | SP | Exact</t>
  </si>
  <si>
    <t>CPG-007-02</t>
  </si>
  <si>
    <t>MensMV | SB | Competitor KW</t>
  </si>
  <si>
    <t>CPG-007-03</t>
  </si>
  <si>
    <t>MensMV | SP | Product Target</t>
  </si>
  <si>
    <t>CPG-007-04</t>
  </si>
  <si>
    <t>MensMV | SP | Broad</t>
  </si>
  <si>
    <t>CPG-010-01</t>
  </si>
  <si>
    <t>Biotin | SP | Exact</t>
  </si>
  <si>
    <t>CPG-010-02</t>
  </si>
  <si>
    <t>Biotin | SB | Brand</t>
  </si>
  <si>
    <t>CPG-010-03</t>
  </si>
  <si>
    <t>Biotin | SP | Phrase</t>
  </si>
  <si>
    <t>CPG-010-04</t>
  </si>
  <si>
    <t>Biotin | SD | Retarget</t>
  </si>
  <si>
    <t>CPG-009-01</t>
  </si>
  <si>
    <t>Turmeric | SP | Exact</t>
  </si>
  <si>
    <t>CPG-009-02</t>
  </si>
  <si>
    <t>Turmeric | SP | Broad</t>
  </si>
  <si>
    <t>CPG-009-03</t>
  </si>
  <si>
    <t>Turmeric | SP | Auto</t>
  </si>
  <si>
    <t>CPG-009-04</t>
  </si>
  <si>
    <t>Turmeric | SB | Phrase</t>
  </si>
  <si>
    <t>Campaign Types: SP = Sponsored Products  |  SB = Sponsored Brands  |  SB Video = Sponsored Brands Video  |  SD = Sponsored Display</t>
  </si>
  <si>
    <t>SEARCH TERM REPORT — TOP TERMS BY CAMPAIGN (30-DAY)</t>
  </si>
  <si>
    <t>Search Term / Target</t>
  </si>
  <si>
    <t xml:space="preserve">Organic
Rank</t>
  </si>
  <si>
    <t xml:space="preserve">Monthly
Search Vol</t>
  </si>
  <si>
    <t>collagen peptides uk</t>
  </si>
  <si>
    <t>collagen powder</t>
  </si>
  <si>
    <t>marine collagen peptides</t>
  </si>
  <si>
    <t>collagen gummies</t>
  </si>
  <si>
    <t>collagen supplement women</t>
  </si>
  <si>
    <t>ASIN: B08XYZ1234 (competitor)</t>
  </si>
  <si>
    <t>ASIN: B07ABC5678 (competitor)</t>
  </si>
  <si>
    <t>ASIN: B09DEF9012 (competitor)</t>
  </si>
  <si>
    <t>ideal direct collagen</t>
  </si>
  <si>
    <t>best collagen supplement uk</t>
  </si>
  <si>
    <t>vitamin c supplement</t>
  </si>
  <si>
    <t>immune booster tablets</t>
  </si>
  <si>
    <t>zinc and vitamin c</t>
  </si>
  <si>
    <t>vitamin c tablets children</t>
  </si>
  <si>
    <t>vitamin c serum face</t>
  </si>
  <si>
    <t>vitamin c supplement uk</t>
  </si>
  <si>
    <t>Audience: Viewed similar products 30d</t>
  </si>
  <si>
    <t>Audience: Viewed product page 14d</t>
  </si>
  <si>
    <t>Audience: Add to cart no purchase 7d</t>
  </si>
  <si>
    <t>immune tablets daily</t>
  </si>
  <si>
    <t>zinc vitamin c tablets</t>
  </si>
  <si>
    <t>magnesium glycinate</t>
  </si>
  <si>
    <t>magnesium for sleep</t>
  </si>
  <si>
    <t>magnesium supplement uk</t>
  </si>
  <si>
    <t>magnesium for horses</t>
  </si>
  <si>
    <t>magnesium tablets 400mg</t>
  </si>
  <si>
    <t>magnesium citrate capsules</t>
  </si>
  <si>
    <t>sleep supplement magnesium</t>
  </si>
  <si>
    <t>magnesium malate tablets</t>
  </si>
  <si>
    <t>mens multivitamin</t>
  </si>
  <si>
    <t>daily vitamins men</t>
  </si>
  <si>
    <t>multivitamin men uk</t>
  </si>
  <si>
    <t>vitabiotics wellman</t>
  </si>
  <si>
    <t>centrum mens</t>
  </si>
  <si>
    <t>seven seas men</t>
  </si>
  <si>
    <t>ASIN: B07MNV3892 (Vitabiotics Wellman)</t>
  </si>
  <si>
    <t>ASIN: B08PQR2341 (Centrum Men)</t>
  </si>
  <si>
    <t>ASIN: B09STU6789 (Seven Seas Men)</t>
  </si>
  <si>
    <t>multivitamin for dogs</t>
  </si>
  <si>
    <t>complete mens vitamin</t>
  </si>
  <si>
    <t>biotin 10000mcg</t>
  </si>
  <si>
    <t>biotin hair growth</t>
  </si>
  <si>
    <t>biotin supplement uk</t>
  </si>
  <si>
    <t>ideal direct biotin</t>
  </si>
  <si>
    <t>brand x biotin</t>
  </si>
  <si>
    <t>biotin 10000 mcg tablets</t>
  </si>
  <si>
    <t>high strength biotin uk</t>
  </si>
  <si>
    <t>biotin vitamins for hair</t>
  </si>
  <si>
    <t>Audience: Viewed haircare supplements 30d</t>
  </si>
  <si>
    <t>Audience: Purchased competitor biotin 60d</t>
  </si>
  <si>
    <t>turmeric supplement</t>
  </si>
  <si>
    <t>curcumin tablets</t>
  </si>
  <si>
    <t>turmeric curcumin 500mg</t>
  </si>
  <si>
    <t>turmeric capsules 1000mg</t>
  </si>
  <si>
    <t>best turmeric supplement uk</t>
  </si>
  <si>
    <t>turmeric and black pepper</t>
  </si>
  <si>
    <t>turmeric gummies</t>
  </si>
  <si>
    <t>joint supplement uk</t>
  </si>
  <si>
    <t>anti inflammatory supplement</t>
  </si>
  <si>
    <t>turmeric supplement uk</t>
  </si>
  <si>
    <t>curcumin with bioperine</t>
  </si>
  <si>
    <t>turmeric capsules high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</si>
</sst>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£#,##0"/>
    <numFmt numFmtId="166" formatCode="£0.00"/>
    <numFmt numFmtId="167" formatCode="0.00x"/>
  </numFmts>
  <fonts count="11" x14ac:knownFonts="1">
    <font>
      <color theme="1"/>
      <family val="2"/>
      <scheme val="minor"/>
      <sz val="11"/>
      <name val="Calibri"/>
    </font>
    <font>
      <b/>
      <charset val="1"/>
      <color rgb="FFFFFFFF"/>
      <sz val="18"/>
      <name val="Arial"/>
    </font>
    <font>
      <charset val="1"/>
      <color rgb="FF8C9BAB"/>
      <sz val="9"/>
      <name val="Arial"/>
    </font>
    <font>
      <charset val="1"/>
      <color theme="1"/>
      <family val="2"/>
      <sz val="11"/>
      <name val="Calibri"/>
    </font>
    <font>
      <b/>
      <charset val="1"/>
      <color rgb="FF8C9BAB"/>
      <sz val="7"/>
      <name val="Arial"/>
    </font>
    <font>
      <b/>
      <charset val="1"/>
      <color rgb="FFFFFFFF"/>
      <sz val="16"/>
      <name val="Arial"/>
    </font>
    <font>
      <b/>
      <charset val="1"/>
      <color rgb="FFFFFFFF"/>
      <sz val="9"/>
      <name val="Arial"/>
    </font>
    <font>
      <charset val="1"/>
      <color rgb="FF1A1A2E"/>
      <sz val="9"/>
      <name val="Arial"/>
    </font>
    <font>
      <b/>
      <charset val="1"/>
      <color rgb="FFFFFFFF"/>
      <sz val="13"/>
      <name val="Arial"/>
    </font>
    <font>
      <i/>
      <charset val="1"/>
      <color rgb="FF8C9BAB"/>
      <sz val="8"/>
      <name val="Arial"/>
    </font>
    <font>
      <charset val="1"/>
      <color rgb="FF1A1A2E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C0392B"/>
        <bgColor rgb="FF993366"/>
      </patternFill>
    </fill>
    <fill>
      <patternFill patternType="solid">
        <fgColor rgb="FF1A2E45"/>
        <bgColor rgb="FF1A1A2E"/>
      </patternFill>
    </fill>
    <fill>
      <patternFill patternType="solid">
        <fgColor rgb="FFF2F4F6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2F4F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D1B2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bottom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bottom"/>
    </xf>
    <xf numFmtId="0" fontId="6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3" fontId="7" fillId="5" borderId="2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3" fontId="7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bottom"/>
    </xf>
    <xf numFmtId="10" fontId="7" fillId="5" borderId="2" xfId="0" applyNumberFormat="1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167" fontId="7" fillId="5" borderId="2" xfId="0" applyNumberFormat="1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 vertical="center"/>
    </xf>
    <xf numFmtId="10" fontId="7" fillId="6" borderId="2" xfId="0" applyNumberFormat="1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center" vertical="center"/>
    </xf>
    <xf numFmtId="9" fontId="7" fillId="6" borderId="2" xfId="0" applyNumberFormat="1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  <xf numFmtId="9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L15"/>
  <sheetViews>
    <sheetView workbookViewId="0" zoomScale="100" zoomScaleNormal="100" view="normal">
      <pane ySplit="8" topLeftCell="A9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0" customWidth="1"/>
    <col min="2" max="2" width="26" customWidth="1"/>
    <col min="5" max="5" width="8" customWidth="1"/>
    <col min="6" max="6" width="12" customWidth="1"/>
    <col min="7" max="8" width="11" customWidth="1"/>
    <col min="9" max="9" width="8" customWidth="1"/>
    <col min="12" max="12" width="10" customWidth="1"/>
  </cols>
  <sheetData>
    <row r="1" ht="43.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.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4.5" customHeight="1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75" customHeight="1" spans="1:12" x14ac:dyDescent="0.25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  <c r="K4" s="4" t="s">
        <v>7</v>
      </c>
      <c r="L4" s="4"/>
    </row>
    <row r="5" ht="36" customHeight="1" spans="1:12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 t="s">
        <v>13</v>
      </c>
      <c r="L5" s="5"/>
    </row>
    <row r="6" ht="7.5" customHeight="1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4.5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31.5" customHeight="1" spans="1:12" x14ac:dyDescent="0.25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  <c r="J8" s="7" t="s">
        <v>23</v>
      </c>
      <c r="K8" s="7" t="s">
        <v>24</v>
      </c>
      <c r="L8" s="7" t="s">
        <v>25</v>
      </c>
    </row>
    <row r="9" ht="19.5" customHeight="1" spans="1:12" x14ac:dyDescent="0.25">
      <c r="A9" s="8" t="s">
        <v>26</v>
      </c>
      <c r="B9" s="9" t="s">
        <v>27</v>
      </c>
      <c r="C9" s="10">
        <v>6130</v>
      </c>
      <c r="D9" s="11">
        <v>0.163</v>
      </c>
      <c r="E9" s="10">
        <v>999</v>
      </c>
      <c r="F9" s="12">
        <v>19980</v>
      </c>
      <c r="G9" s="12">
        <v>4140</v>
      </c>
      <c r="H9" s="10">
        <v>522600</v>
      </c>
      <c r="I9" s="10">
        <v>6614</v>
      </c>
      <c r="J9" s="11">
        <v>0.2953</v>
      </c>
      <c r="K9" s="11">
        <v>0.2072</v>
      </c>
      <c r="L9" s="13">
        <v>4</v>
      </c>
    </row>
    <row r="10" ht="19.5" customHeight="1" spans="1:12" x14ac:dyDescent="0.25">
      <c r="A10" s="14" t="s">
        <v>28</v>
      </c>
      <c r="B10" s="15" t="s">
        <v>29</v>
      </c>
      <c r="C10" s="16">
        <v>5420</v>
      </c>
      <c r="D10" s="17">
        <v>0.142</v>
      </c>
      <c r="E10" s="16">
        <v>769</v>
      </c>
      <c r="F10" s="18">
        <v>15380</v>
      </c>
      <c r="G10" s="18">
        <v>3034</v>
      </c>
      <c r="H10" s="16">
        <v>562400</v>
      </c>
      <c r="I10" s="16">
        <v>4502</v>
      </c>
      <c r="J10" s="17">
        <v>0.3568</v>
      </c>
      <c r="K10" s="17">
        <v>0.1973</v>
      </c>
      <c r="L10" s="19">
        <v>4</v>
      </c>
    </row>
    <row r="11" ht="19.5" customHeight="1" spans="1:12" x14ac:dyDescent="0.25">
      <c r="A11" s="8" t="s">
        <v>30</v>
      </c>
      <c r="B11" s="9" t="s">
        <v>31</v>
      </c>
      <c r="C11" s="10">
        <v>4050</v>
      </c>
      <c r="D11" s="11">
        <v>0.127</v>
      </c>
      <c r="E11" s="10">
        <v>514</v>
      </c>
      <c r="F11" s="12">
        <v>10280</v>
      </c>
      <c r="G11" s="12">
        <v>2080</v>
      </c>
      <c r="H11" s="10">
        <v>294200</v>
      </c>
      <c r="I11" s="10">
        <v>3212</v>
      </c>
      <c r="J11" s="11">
        <v>0.3478</v>
      </c>
      <c r="K11" s="11">
        <v>0.2023</v>
      </c>
      <c r="L11" s="13">
        <v>3</v>
      </c>
    </row>
    <row r="12" ht="19.5" customHeight="1" spans="1:12" x14ac:dyDescent="0.25">
      <c r="A12" s="14" t="s">
        <v>32</v>
      </c>
      <c r="B12" s="15" t="s">
        <v>33</v>
      </c>
      <c r="C12" s="16">
        <v>5660</v>
      </c>
      <c r="D12" s="17">
        <v>0.138</v>
      </c>
      <c r="E12" s="16">
        <v>781</v>
      </c>
      <c r="F12" s="18">
        <v>15620</v>
      </c>
      <c r="G12" s="18">
        <v>3020</v>
      </c>
      <c r="H12" s="16">
        <v>400000</v>
      </c>
      <c r="I12" s="16">
        <v>4180</v>
      </c>
      <c r="J12" s="17">
        <v>0.3679</v>
      </c>
      <c r="K12" s="17">
        <v>0.1933</v>
      </c>
      <c r="L12" s="19">
        <v>4</v>
      </c>
    </row>
    <row r="13" ht="19.5" customHeight="1" spans="1:12" x14ac:dyDescent="0.25">
      <c r="A13" s="8" t="s">
        <v>34</v>
      </c>
      <c r="B13" s="9" t="s">
        <v>35</v>
      </c>
      <c r="C13" s="10">
        <v>4920</v>
      </c>
      <c r="D13" s="11">
        <v>0.156</v>
      </c>
      <c r="E13" s="10">
        <v>768</v>
      </c>
      <c r="F13" s="12">
        <v>15360</v>
      </c>
      <c r="G13" s="12">
        <v>2040</v>
      </c>
      <c r="H13" s="10">
        <v>450600</v>
      </c>
      <c r="I13" s="10">
        <v>3750</v>
      </c>
      <c r="J13" s="11">
        <v>0.2496</v>
      </c>
      <c r="K13" s="11">
        <v>0.1328</v>
      </c>
      <c r="L13" s="13">
        <v>4</v>
      </c>
    </row>
    <row r="14" ht="19.5" customHeight="1" spans="1:12" x14ac:dyDescent="0.25">
      <c r="A14" s="14" t="s">
        <v>36</v>
      </c>
      <c r="B14" s="15" t="s">
        <v>37</v>
      </c>
      <c r="C14" s="16">
        <v>2540</v>
      </c>
      <c r="D14" s="17">
        <v>0.073</v>
      </c>
      <c r="E14" s="16">
        <v>185</v>
      </c>
      <c r="F14" s="18">
        <v>3700</v>
      </c>
      <c r="G14" s="18">
        <v>1590</v>
      </c>
      <c r="H14" s="16">
        <v>245800</v>
      </c>
      <c r="I14" s="16">
        <v>2480</v>
      </c>
      <c r="J14" s="17">
        <v>0.5445</v>
      </c>
      <c r="K14" s="17">
        <v>0.4297</v>
      </c>
      <c r="L14" s="19">
        <v>4</v>
      </c>
    </row>
    <row r="15" ht="19.5" customHeight="1" spans="1:11" x14ac:dyDescent="0.25">
      <c r="A15" s="20" t="s">
        <v>38</v>
      </c>
      <c r="B15" s="20"/>
      <c r="C15" s="21">
        <f>SUM(C9:C14)</f>
        <v>28720</v>
      </c>
      <c r="D15" s="22">
        <f>E15/C15</f>
        <v>0.1398</v>
      </c>
      <c r="E15" s="21">
        <f>SUM(E9:E14)</f>
        <v>4016</v>
      </c>
      <c r="F15" s="23">
        <f>SUM(F9:F14)</f>
        <v>80320</v>
      </c>
      <c r="G15" s="23">
        <f>SUM(G9:G14)</f>
        <v>15904</v>
      </c>
      <c r="H15" s="21">
        <f>SUM(H9:H14)</f>
        <v>2475600</v>
      </c>
      <c r="I15" s="21">
        <f>SUM(I9:I14)</f>
        <v>24738</v>
      </c>
      <c r="J15" s="22">
        <v>0.3327</v>
      </c>
      <c r="K15" s="22">
        <v>0.198</v>
      </c>
    </row>
  </sheetData>
  <mergeCells count="15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15:B15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E45"/>
  </sheetPr>
  <dimension ref="A1:R3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3" customWidth="1"/>
    <col min="2" max="2" width="30" customWidth="1"/>
    <col min="4" max="4" width="8" customWidth="1"/>
    <col min="6" max="6" width="22" customWidth="1"/>
    <col min="7" max="7" width="12" customWidth="1"/>
    <col min="8" max="8" width="8" customWidth="1"/>
    <col min="9" max="10" width="10" customWidth="1"/>
    <col min="12" max="15" width="8" customWidth="1"/>
    <col min="16" max="16" width="12" customWidth="1"/>
    <col min="17" max="17" width="11" customWidth="1"/>
    <col min="18" max="18" width="10" customWidth="1"/>
  </cols>
  <sheetData>
    <row r="1" ht="37.5" customHeight="1" spans="1:18" x14ac:dyDescent="0.25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ht="15" customHeight="1" spans="1:18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4.5" customHeight="1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6" customHeight="1" spans="1:18" x14ac:dyDescent="0.25">
      <c r="A4" s="7" t="s">
        <v>40</v>
      </c>
      <c r="B4" s="7" t="s">
        <v>41</v>
      </c>
      <c r="C4" s="7" t="s">
        <v>42</v>
      </c>
      <c r="D4" s="7" t="s">
        <v>43</v>
      </c>
      <c r="E4" s="7" t="s">
        <v>14</v>
      </c>
      <c r="F4" s="7" t="s">
        <v>15</v>
      </c>
      <c r="G4" s="7" t="s">
        <v>21</v>
      </c>
      <c r="H4" s="7" t="s">
        <v>22</v>
      </c>
      <c r="I4" s="7" t="s">
        <v>44</v>
      </c>
      <c r="J4" s="7" t="s">
        <v>45</v>
      </c>
      <c r="K4" s="7" t="s">
        <v>23</v>
      </c>
      <c r="L4" s="7" t="s">
        <v>46</v>
      </c>
      <c r="M4" s="7" t="s">
        <v>47</v>
      </c>
      <c r="N4" s="7" t="s">
        <v>48</v>
      </c>
      <c r="O4" s="7" t="s">
        <v>49</v>
      </c>
      <c r="P4" s="7" t="s">
        <v>50</v>
      </c>
      <c r="Q4" s="7" t="s">
        <v>51</v>
      </c>
      <c r="R4" s="7" t="s">
        <v>52</v>
      </c>
    </row>
    <row r="5" ht="18" customHeight="1" spans="1:18" x14ac:dyDescent="0.25">
      <c r="A5" s="8" t="s">
        <v>53</v>
      </c>
      <c r="B5" s="9" t="s">
        <v>54</v>
      </c>
      <c r="C5" s="8" t="s">
        <v>55</v>
      </c>
      <c r="D5" s="8" t="s">
        <v>56</v>
      </c>
      <c r="E5" s="8" t="s">
        <v>26</v>
      </c>
      <c r="F5" s="9" t="s">
        <v>27</v>
      </c>
      <c r="G5" s="10">
        <v>98400</v>
      </c>
      <c r="H5" s="10">
        <v>1824</v>
      </c>
      <c r="I5" s="12">
        <v>1120</v>
      </c>
      <c r="J5" s="12">
        <v>4562</v>
      </c>
      <c r="K5" s="11">
        <v>0.245</v>
      </c>
      <c r="L5" s="26">
        <v>0.0185365853658537</v>
      </c>
      <c r="M5" s="11">
        <v>0.250109649122807</v>
      </c>
      <c r="N5" s="27">
        <v>0.614035087719298</v>
      </c>
      <c r="O5" s="28">
        <v>4.07321428571429</v>
      </c>
      <c r="P5" s="29">
        <v>0.76</v>
      </c>
      <c r="Q5" s="13">
        <v>55</v>
      </c>
      <c r="R5" s="13">
        <v>3</v>
      </c>
    </row>
    <row r="6" ht="18" customHeight="1" spans="1:18" x14ac:dyDescent="0.25">
      <c r="A6" s="14" t="s">
        <v>57</v>
      </c>
      <c r="B6" s="15" t="s">
        <v>58</v>
      </c>
      <c r="C6" s="14" t="s">
        <v>55</v>
      </c>
      <c r="D6" s="14" t="s">
        <v>59</v>
      </c>
      <c r="E6" s="14" t="s">
        <v>26</v>
      </c>
      <c r="F6" s="15" t="s">
        <v>27</v>
      </c>
      <c r="G6" s="16">
        <v>162000</v>
      </c>
      <c r="H6" s="16">
        <v>2480</v>
      </c>
      <c r="I6" s="18">
        <v>1820</v>
      </c>
      <c r="J6" s="18">
        <v>3940</v>
      </c>
      <c r="K6" s="17">
        <v>0.462</v>
      </c>
      <c r="L6" s="30">
        <v>0.0153086419753086</v>
      </c>
      <c r="M6" s="17">
        <v>0.158870967741936</v>
      </c>
      <c r="N6" s="31">
        <v>0.733870967741936</v>
      </c>
      <c r="O6" s="32">
        <v>2.16483516483517</v>
      </c>
      <c r="P6" s="33">
        <v>0.22</v>
      </c>
      <c r="Q6" s="19">
        <v>20</v>
      </c>
      <c r="R6" s="19">
        <v>3</v>
      </c>
    </row>
    <row r="7" ht="18" customHeight="1" spans="1:18" x14ac:dyDescent="0.25">
      <c r="A7" s="8" t="s">
        <v>60</v>
      </c>
      <c r="B7" s="9" t="s">
        <v>61</v>
      </c>
      <c r="C7" s="8" t="s">
        <v>55</v>
      </c>
      <c r="D7" s="8" t="s">
        <v>62</v>
      </c>
      <c r="E7" s="8" t="s">
        <v>26</v>
      </c>
      <c r="F7" s="9" t="s">
        <v>27</v>
      </c>
      <c r="G7" s="10">
        <v>74200</v>
      </c>
      <c r="H7" s="10">
        <v>890</v>
      </c>
      <c r="I7" s="12">
        <v>520</v>
      </c>
      <c r="J7" s="12">
        <v>1680</v>
      </c>
      <c r="K7" s="11">
        <v>0.31</v>
      </c>
      <c r="L7" s="26">
        <v>0.0119946091644205</v>
      </c>
      <c r="M7" s="11">
        <v>0.18876404494382</v>
      </c>
      <c r="N7" s="27">
        <v>0.584269662921348</v>
      </c>
      <c r="O7" s="28">
        <v>3.23076923076923</v>
      </c>
      <c r="P7" s="29">
        <v>0.12</v>
      </c>
      <c r="Q7" s="13">
        <v>20</v>
      </c>
      <c r="R7" s="13">
        <v>3</v>
      </c>
    </row>
    <row r="8" ht="18" customHeight="1" spans="1:18" x14ac:dyDescent="0.25">
      <c r="A8" s="14" t="s">
        <v>63</v>
      </c>
      <c r="B8" s="15" t="s">
        <v>64</v>
      </c>
      <c r="C8" s="14" t="s">
        <v>65</v>
      </c>
      <c r="D8" s="14" t="s">
        <v>59</v>
      </c>
      <c r="E8" s="14" t="s">
        <v>26</v>
      </c>
      <c r="F8" s="15" t="s">
        <v>27</v>
      </c>
      <c r="G8" s="16">
        <v>188000</v>
      </c>
      <c r="H8" s="16">
        <v>1420</v>
      </c>
      <c r="I8" s="18">
        <v>680</v>
      </c>
      <c r="J8" s="18">
        <v>3840</v>
      </c>
      <c r="K8" s="17">
        <v>0.177</v>
      </c>
      <c r="L8" s="30">
        <v>0.0075531914893617</v>
      </c>
      <c r="M8" s="17">
        <v>0.270422535211268</v>
      </c>
      <c r="N8" s="31">
        <v>0.47887323943662</v>
      </c>
      <c r="O8" s="32">
        <v>5.64705882352941</v>
      </c>
      <c r="P8" s="33">
        <v>0.82</v>
      </c>
      <c r="Q8" s="19">
        <v>60</v>
      </c>
      <c r="R8" s="19">
        <v>3</v>
      </c>
    </row>
    <row r="9" ht="18" customHeight="1" spans="1:18" x14ac:dyDescent="0.25">
      <c r="A9" s="8" t="s">
        <v>66</v>
      </c>
      <c r="B9" s="9" t="s">
        <v>67</v>
      </c>
      <c r="C9" s="8" t="s">
        <v>55</v>
      </c>
      <c r="D9" s="8" t="s">
        <v>56</v>
      </c>
      <c r="E9" s="8" t="s">
        <v>28</v>
      </c>
      <c r="F9" s="9" t="s">
        <v>29</v>
      </c>
      <c r="G9" s="10">
        <v>88400</v>
      </c>
      <c r="H9" s="10">
        <v>1102</v>
      </c>
      <c r="I9" s="12">
        <v>754</v>
      </c>
      <c r="J9" s="12">
        <v>3204</v>
      </c>
      <c r="K9" s="11">
        <v>0.235</v>
      </c>
      <c r="L9" s="26">
        <v>0.0124660633484163</v>
      </c>
      <c r="M9" s="11">
        <v>0.291035136770164</v>
      </c>
      <c r="N9" s="27">
        <v>0.68421052631579</v>
      </c>
      <c r="O9" s="28">
        <v>4.24933687002653</v>
      </c>
      <c r="P9" s="29">
        <v>0.68</v>
      </c>
      <c r="Q9" s="13">
        <v>40</v>
      </c>
      <c r="R9" s="13">
        <v>3</v>
      </c>
    </row>
    <row r="10" ht="18" customHeight="1" spans="1:18" x14ac:dyDescent="0.25">
      <c r="A10" s="14" t="s">
        <v>68</v>
      </c>
      <c r="B10" s="15" t="s">
        <v>69</v>
      </c>
      <c r="C10" s="14" t="s">
        <v>55</v>
      </c>
      <c r="D10" s="14" t="s">
        <v>70</v>
      </c>
      <c r="E10" s="14" t="s">
        <v>28</v>
      </c>
      <c r="F10" s="15" t="s">
        <v>29</v>
      </c>
      <c r="G10" s="16">
        <v>94000</v>
      </c>
      <c r="H10" s="16">
        <v>1180</v>
      </c>
      <c r="I10" s="18">
        <v>1040</v>
      </c>
      <c r="J10" s="18">
        <v>1620</v>
      </c>
      <c r="K10" s="17">
        <v>0.642</v>
      </c>
      <c r="L10" s="30">
        <v>0.0125531914893617</v>
      </c>
      <c r="M10" s="17">
        <v>0.137425561154375</v>
      </c>
      <c r="N10" s="31">
        <v>0.88135593220339</v>
      </c>
      <c r="O10" s="32">
        <v>1.55769230769231</v>
      </c>
      <c r="P10" s="33">
        <v>0.18</v>
      </c>
      <c r="Q10" s="19">
        <v>15</v>
      </c>
      <c r="R10" s="19">
        <v>3</v>
      </c>
    </row>
    <row r="11" ht="18" customHeight="1" spans="1:18" x14ac:dyDescent="0.25">
      <c r="A11" s="8" t="s">
        <v>71</v>
      </c>
      <c r="B11" s="9" t="s">
        <v>72</v>
      </c>
      <c r="C11" s="8" t="s">
        <v>73</v>
      </c>
      <c r="D11" s="8" t="s">
        <v>74</v>
      </c>
      <c r="E11" s="8" t="s">
        <v>28</v>
      </c>
      <c r="F11" s="9" t="s">
        <v>29</v>
      </c>
      <c r="G11" s="10">
        <v>224000</v>
      </c>
      <c r="H11" s="10">
        <v>980</v>
      </c>
      <c r="I11" s="12">
        <v>720</v>
      </c>
      <c r="J11" s="12">
        <v>1040</v>
      </c>
      <c r="K11" s="11">
        <v>0.692</v>
      </c>
      <c r="L11" s="26">
        <v>0.004375</v>
      </c>
      <c r="M11" s="11">
        <v>0.106228677657249</v>
      </c>
      <c r="N11" s="27">
        <v>0.73469387755102</v>
      </c>
      <c r="O11" s="28">
        <v>1.44444444444444</v>
      </c>
      <c r="P11" s="29">
        <v>0.06</v>
      </c>
      <c r="Q11" s="13">
        <v>10</v>
      </c>
      <c r="R11" s="13">
        <v>3</v>
      </c>
    </row>
    <row r="12" ht="18" customHeight="1" spans="1:18" x14ac:dyDescent="0.25">
      <c r="A12" s="14" t="s">
        <v>75</v>
      </c>
      <c r="B12" s="15" t="s">
        <v>76</v>
      </c>
      <c r="C12" s="14" t="s">
        <v>77</v>
      </c>
      <c r="D12" s="14" t="s">
        <v>70</v>
      </c>
      <c r="E12" s="14" t="s">
        <v>28</v>
      </c>
      <c r="F12" s="15" t="s">
        <v>29</v>
      </c>
      <c r="G12" s="16">
        <v>156000</v>
      </c>
      <c r="H12" s="16">
        <v>1240</v>
      </c>
      <c r="I12" s="18">
        <v>520</v>
      </c>
      <c r="J12" s="18">
        <v>2640</v>
      </c>
      <c r="K12" s="17">
        <v>0.197</v>
      </c>
      <c r="L12" s="30">
        <v>0.00794871794871795</v>
      </c>
      <c r="M12" s="17">
        <v>0.2131163421486</v>
      </c>
      <c r="N12" s="31">
        <v>0.419354838709677</v>
      </c>
      <c r="O12" s="32">
        <v>5.07692307692308</v>
      </c>
      <c r="P12" s="33">
        <v>0.72</v>
      </c>
      <c r="Q12" s="19">
        <v>55</v>
      </c>
      <c r="R12" s="19">
        <v>3</v>
      </c>
    </row>
    <row r="13" ht="18" customHeight="1" spans="1:18" x14ac:dyDescent="0.25">
      <c r="A13" s="8" t="s">
        <v>78</v>
      </c>
      <c r="B13" s="9" t="s">
        <v>79</v>
      </c>
      <c r="C13" s="8" t="s">
        <v>55</v>
      </c>
      <c r="D13" s="8" t="s">
        <v>56</v>
      </c>
      <c r="E13" s="8" t="s">
        <v>30</v>
      </c>
      <c r="F13" s="9" t="s">
        <v>31</v>
      </c>
      <c r="G13" s="10">
        <v>74200</v>
      </c>
      <c r="H13" s="10">
        <v>892</v>
      </c>
      <c r="I13" s="12">
        <v>580</v>
      </c>
      <c r="J13" s="12">
        <v>2560</v>
      </c>
      <c r="K13" s="11">
        <v>0.227</v>
      </c>
      <c r="L13" s="26">
        <v>0.0120215633423181</v>
      </c>
      <c r="M13" s="11">
        <v>0.287282798493561</v>
      </c>
      <c r="N13" s="27">
        <v>0.650224215246637</v>
      </c>
      <c r="O13" s="28">
        <v>4.41379310344828</v>
      </c>
      <c r="P13" s="29">
        <v>0.42</v>
      </c>
      <c r="Q13" s="13">
        <v>30</v>
      </c>
      <c r="R13" s="13">
        <v>3</v>
      </c>
    </row>
    <row r="14" ht="18" customHeight="1" spans="1:18" x14ac:dyDescent="0.25">
      <c r="A14" s="14" t="s">
        <v>80</v>
      </c>
      <c r="B14" s="15" t="s">
        <v>81</v>
      </c>
      <c r="C14" s="14" t="s">
        <v>55</v>
      </c>
      <c r="D14" s="14" t="s">
        <v>70</v>
      </c>
      <c r="E14" s="14" t="s">
        <v>30</v>
      </c>
      <c r="F14" s="15" t="s">
        <v>31</v>
      </c>
      <c r="G14" s="16">
        <v>108000</v>
      </c>
      <c r="H14" s="16">
        <v>1340</v>
      </c>
      <c r="I14" s="18">
        <v>940</v>
      </c>
      <c r="J14" s="18">
        <v>1780</v>
      </c>
      <c r="K14" s="17">
        <v>0.528</v>
      </c>
      <c r="L14" s="30">
        <v>0.0124074074074074</v>
      </c>
      <c r="M14" s="17">
        <v>0.132968789685208</v>
      </c>
      <c r="N14" s="31">
        <v>0.701492537313433</v>
      </c>
      <c r="O14" s="32">
        <v>1.8936170212766</v>
      </c>
      <c r="P14" s="33">
        <v>0.16</v>
      </c>
      <c r="Q14" s="19">
        <v>15</v>
      </c>
      <c r="R14" s="19">
        <v>3</v>
      </c>
    </row>
    <row r="15" ht="18" customHeight="1" spans="1:18" x14ac:dyDescent="0.25">
      <c r="A15" s="8" t="s">
        <v>82</v>
      </c>
      <c r="B15" s="9" t="s">
        <v>83</v>
      </c>
      <c r="C15" s="8" t="s">
        <v>55</v>
      </c>
      <c r="D15" s="8" t="s">
        <v>84</v>
      </c>
      <c r="E15" s="8" t="s">
        <v>30</v>
      </c>
      <c r="F15" s="9" t="s">
        <v>31</v>
      </c>
      <c r="G15" s="10">
        <v>112000</v>
      </c>
      <c r="H15" s="10">
        <v>980</v>
      </c>
      <c r="I15" s="12">
        <v>560</v>
      </c>
      <c r="J15" s="12">
        <v>1640</v>
      </c>
      <c r="K15" s="11">
        <v>0.341</v>
      </c>
      <c r="L15" s="26">
        <v>0.00875</v>
      </c>
      <c r="M15" s="11">
        <v>0.167514453228739</v>
      </c>
      <c r="N15" s="27">
        <v>0.571428571428571</v>
      </c>
      <c r="O15" s="28">
        <v>2.92857142857143</v>
      </c>
      <c r="P15" s="29">
        <v>0.14</v>
      </c>
      <c r="Q15" s="13">
        <v>15</v>
      </c>
      <c r="R15" s="13">
        <v>3</v>
      </c>
    </row>
    <row r="16" ht="18" customHeight="1" spans="1:18" x14ac:dyDescent="0.25">
      <c r="A16" s="14" t="s">
        <v>85</v>
      </c>
      <c r="B16" s="15" t="s">
        <v>86</v>
      </c>
      <c r="C16" s="14" t="s">
        <v>55</v>
      </c>
      <c r="D16" s="14" t="s">
        <v>56</v>
      </c>
      <c r="E16" s="14" t="s">
        <v>32</v>
      </c>
      <c r="F16" s="15" t="s">
        <v>33</v>
      </c>
      <c r="G16" s="16">
        <v>92000</v>
      </c>
      <c r="H16" s="16">
        <v>1280</v>
      </c>
      <c r="I16" s="18">
        <v>880</v>
      </c>
      <c r="J16" s="18">
        <v>3620</v>
      </c>
      <c r="K16" s="17">
        <v>0.243</v>
      </c>
      <c r="L16" s="30">
        <v>0.0139130434782609</v>
      </c>
      <c r="M16" s="17">
        <v>0.2828125</v>
      </c>
      <c r="N16" s="31">
        <v>0.6875</v>
      </c>
      <c r="O16" s="32">
        <v>4.11363636363636</v>
      </c>
      <c r="P16" s="33">
        <v>0.71</v>
      </c>
      <c r="Q16" s="19">
        <v>50</v>
      </c>
      <c r="R16" s="19">
        <v>3</v>
      </c>
    </row>
    <row r="17" ht="18" customHeight="1" spans="1:18" x14ac:dyDescent="0.25">
      <c r="A17" s="8" t="s">
        <v>87</v>
      </c>
      <c r="B17" s="9" t="s">
        <v>88</v>
      </c>
      <c r="C17" s="8" t="s">
        <v>65</v>
      </c>
      <c r="D17" s="8" t="s">
        <v>56</v>
      </c>
      <c r="E17" s="8" t="s">
        <v>32</v>
      </c>
      <c r="F17" s="9" t="s">
        <v>33</v>
      </c>
      <c r="G17" s="10">
        <v>82000</v>
      </c>
      <c r="H17" s="10">
        <v>420</v>
      </c>
      <c r="I17" s="12">
        <v>380</v>
      </c>
      <c r="J17" s="12">
        <v>668</v>
      </c>
      <c r="K17" s="11">
        <v>0.569</v>
      </c>
      <c r="L17" s="26">
        <v>0.0051219512195122</v>
      </c>
      <c r="M17" s="11">
        <v>0.159047619047619</v>
      </c>
      <c r="N17" s="27">
        <v>0.904761904761905</v>
      </c>
      <c r="O17" s="28">
        <v>1.75789473684211</v>
      </c>
      <c r="P17" s="29">
        <v>0.44</v>
      </c>
      <c r="Q17" s="13">
        <v>40</v>
      </c>
      <c r="R17" s="13">
        <v>3</v>
      </c>
    </row>
    <row r="18" ht="18" customHeight="1" spans="1:18" x14ac:dyDescent="0.25">
      <c r="A18" s="14" t="s">
        <v>89</v>
      </c>
      <c r="B18" s="15" t="s">
        <v>90</v>
      </c>
      <c r="C18" s="14" t="s">
        <v>55</v>
      </c>
      <c r="D18" s="14" t="s">
        <v>62</v>
      </c>
      <c r="E18" s="14" t="s">
        <v>32</v>
      </c>
      <c r="F18" s="15" t="s">
        <v>33</v>
      </c>
      <c r="G18" s="16">
        <v>58000</v>
      </c>
      <c r="H18" s="16">
        <v>640</v>
      </c>
      <c r="I18" s="18">
        <v>380</v>
      </c>
      <c r="J18" s="18">
        <v>1440</v>
      </c>
      <c r="K18" s="17">
        <v>0.264</v>
      </c>
      <c r="L18" s="30">
        <v>0.0110344827586207</v>
      </c>
      <c r="M18" s="17">
        <v>0.225</v>
      </c>
      <c r="N18" s="31">
        <v>0.59375</v>
      </c>
      <c r="O18" s="32">
        <v>3.78947368421053</v>
      </c>
      <c r="P18" s="33">
        <v>0.09</v>
      </c>
      <c r="Q18" s="19">
        <v>15</v>
      </c>
      <c r="R18" s="19">
        <v>3</v>
      </c>
    </row>
    <row r="19" ht="18" customHeight="1" spans="1:18" x14ac:dyDescent="0.25">
      <c r="A19" s="8" t="s">
        <v>91</v>
      </c>
      <c r="B19" s="9" t="s">
        <v>92</v>
      </c>
      <c r="C19" s="8" t="s">
        <v>55</v>
      </c>
      <c r="D19" s="8" t="s">
        <v>59</v>
      </c>
      <c r="E19" s="8" t="s">
        <v>32</v>
      </c>
      <c r="F19" s="9" t="s">
        <v>33</v>
      </c>
      <c r="G19" s="10">
        <v>168000</v>
      </c>
      <c r="H19" s="10">
        <v>1840</v>
      </c>
      <c r="I19" s="12">
        <v>1380</v>
      </c>
      <c r="J19" s="12">
        <v>2480</v>
      </c>
      <c r="K19" s="11">
        <v>0.556</v>
      </c>
      <c r="L19" s="26">
        <v>0.010952380952381</v>
      </c>
      <c r="M19" s="11">
        <v>0.134782608695652</v>
      </c>
      <c r="N19" s="27">
        <v>0.75</v>
      </c>
      <c r="O19" s="28">
        <v>1.79710144927536</v>
      </c>
      <c r="P19" s="29">
        <v>0.14</v>
      </c>
      <c r="Q19" s="13">
        <v>15</v>
      </c>
      <c r="R19" s="13">
        <v>3</v>
      </c>
    </row>
    <row r="20" ht="18" customHeight="1" spans="1:18" x14ac:dyDescent="0.25">
      <c r="A20" s="14" t="s">
        <v>93</v>
      </c>
      <c r="B20" s="15" t="s">
        <v>94</v>
      </c>
      <c r="C20" s="14" t="s">
        <v>55</v>
      </c>
      <c r="D20" s="14" t="s">
        <v>56</v>
      </c>
      <c r="E20" s="14" t="s">
        <v>34</v>
      </c>
      <c r="F20" s="15" t="s">
        <v>35</v>
      </c>
      <c r="G20" s="16">
        <v>88600</v>
      </c>
      <c r="H20" s="16">
        <v>1210</v>
      </c>
      <c r="I20" s="18">
        <v>720</v>
      </c>
      <c r="J20" s="18">
        <v>2933</v>
      </c>
      <c r="K20" s="17">
        <v>0.246</v>
      </c>
      <c r="L20" s="30">
        <v>0.0136568848758465</v>
      </c>
      <c r="M20" s="17">
        <v>0.242639333548425</v>
      </c>
      <c r="N20" s="31">
        <v>0.59504132231405</v>
      </c>
      <c r="O20" s="32">
        <v>4.07361111111111</v>
      </c>
      <c r="P20" s="33">
        <v>0.78</v>
      </c>
      <c r="Q20" s="19">
        <v>60</v>
      </c>
      <c r="R20" s="19">
        <v>3</v>
      </c>
    </row>
    <row r="21" ht="18" customHeight="1" spans="1:18" x14ac:dyDescent="0.25">
      <c r="A21" s="8" t="s">
        <v>95</v>
      </c>
      <c r="B21" s="9" t="s">
        <v>96</v>
      </c>
      <c r="C21" s="8" t="s">
        <v>65</v>
      </c>
      <c r="D21" s="8" t="s">
        <v>56</v>
      </c>
      <c r="E21" s="8" t="s">
        <v>34</v>
      </c>
      <c r="F21" s="9" t="s">
        <v>35</v>
      </c>
      <c r="G21" s="10">
        <v>112000</v>
      </c>
      <c r="H21" s="10">
        <v>980</v>
      </c>
      <c r="I21" s="12">
        <v>440</v>
      </c>
      <c r="J21" s="12">
        <v>2760</v>
      </c>
      <c r="K21" s="11">
        <v>0.159</v>
      </c>
      <c r="L21" s="26">
        <v>0.00875</v>
      </c>
      <c r="M21" s="11">
        <v>0.281914567628853</v>
      </c>
      <c r="N21" s="27">
        <v>0.448979591836735</v>
      </c>
      <c r="O21" s="28">
        <v>6.27272727272727</v>
      </c>
      <c r="P21" s="29">
        <v>0.85</v>
      </c>
      <c r="Q21" s="13">
        <v>65</v>
      </c>
      <c r="R21" s="13">
        <v>3</v>
      </c>
    </row>
    <row r="22" ht="18" customHeight="1" spans="1:18" x14ac:dyDescent="0.25">
      <c r="A22" s="14" t="s">
        <v>97</v>
      </c>
      <c r="B22" s="15" t="s">
        <v>98</v>
      </c>
      <c r="C22" s="14" t="s">
        <v>55</v>
      </c>
      <c r="D22" s="14" t="s">
        <v>70</v>
      </c>
      <c r="E22" s="14" t="s">
        <v>34</v>
      </c>
      <c r="F22" s="15" t="s">
        <v>35</v>
      </c>
      <c r="G22" s="16">
        <v>64000</v>
      </c>
      <c r="H22" s="16">
        <v>820</v>
      </c>
      <c r="I22" s="18">
        <v>560</v>
      </c>
      <c r="J22" s="18">
        <v>1620</v>
      </c>
      <c r="K22" s="17">
        <v>0.346</v>
      </c>
      <c r="L22" s="30">
        <v>0.0128125</v>
      </c>
      <c r="M22" s="17">
        <v>0.1977587343441</v>
      </c>
      <c r="N22" s="31">
        <v>0.682926829268293</v>
      </c>
      <c r="O22" s="32">
        <v>2.89285714285714</v>
      </c>
      <c r="P22" s="33">
        <v>0.24</v>
      </c>
      <c r="Q22" s="19">
        <v>25</v>
      </c>
      <c r="R22" s="19">
        <v>3</v>
      </c>
    </row>
    <row r="23" ht="18" customHeight="1" spans="1:18" x14ac:dyDescent="0.25">
      <c r="A23" s="8" t="s">
        <v>99</v>
      </c>
      <c r="B23" s="9" t="s">
        <v>100</v>
      </c>
      <c r="C23" s="8" t="s">
        <v>73</v>
      </c>
      <c r="D23" s="8" t="s">
        <v>74</v>
      </c>
      <c r="E23" s="8" t="s">
        <v>34</v>
      </c>
      <c r="F23" s="9" t="s">
        <v>35</v>
      </c>
      <c r="G23" s="10">
        <v>186000</v>
      </c>
      <c r="H23" s="10">
        <v>740</v>
      </c>
      <c r="I23" s="12">
        <v>320</v>
      </c>
      <c r="J23" s="12">
        <v>860</v>
      </c>
      <c r="K23" s="11">
        <v>0.372</v>
      </c>
      <c r="L23" s="26">
        <v>0.00397849462365591</v>
      </c>
      <c r="M23" s="11">
        <v>0.116332548764981</v>
      </c>
      <c r="N23" s="27">
        <v>0.432432432432433</v>
      </c>
      <c r="O23" s="28">
        <v>2.6875</v>
      </c>
      <c r="P23" s="29">
        <v>0.06</v>
      </c>
      <c r="Q23" s="13">
        <v>10</v>
      </c>
      <c r="R23" s="13">
        <v>3</v>
      </c>
    </row>
    <row r="24" ht="18" customHeight="1" spans="1:18" x14ac:dyDescent="0.25">
      <c r="A24" s="14" t="s">
        <v>101</v>
      </c>
      <c r="B24" s="15" t="s">
        <v>102</v>
      </c>
      <c r="C24" s="14" t="s">
        <v>55</v>
      </c>
      <c r="D24" s="14" t="s">
        <v>56</v>
      </c>
      <c r="E24" s="14" t="s">
        <v>36</v>
      </c>
      <c r="F24" s="15" t="s">
        <v>37</v>
      </c>
      <c r="G24" s="16">
        <v>41800</v>
      </c>
      <c r="H24" s="16">
        <v>520</v>
      </c>
      <c r="I24" s="18">
        <v>310</v>
      </c>
      <c r="J24" s="18">
        <v>640</v>
      </c>
      <c r="K24" s="17">
        <v>0.484</v>
      </c>
      <c r="L24" s="30">
        <v>0.0124401913875598</v>
      </c>
      <c r="M24" s="17">
        <v>0.123200123200123</v>
      </c>
      <c r="N24" s="31">
        <v>0.596153846153846</v>
      </c>
      <c r="O24" s="32">
        <v>2.06451612903226</v>
      </c>
      <c r="P24" s="33">
        <v>0.52</v>
      </c>
      <c r="Q24" s="19">
        <v>40</v>
      </c>
      <c r="R24" s="19">
        <v>3</v>
      </c>
    </row>
    <row r="25" ht="18" customHeight="1" spans="1:18" x14ac:dyDescent="0.25">
      <c r="A25" s="8" t="s">
        <v>103</v>
      </c>
      <c r="B25" s="9" t="s">
        <v>104</v>
      </c>
      <c r="C25" s="8" t="s">
        <v>55</v>
      </c>
      <c r="D25" s="8" t="s">
        <v>59</v>
      </c>
      <c r="E25" s="8" t="s">
        <v>36</v>
      </c>
      <c r="F25" s="9" t="s">
        <v>37</v>
      </c>
      <c r="G25" s="10">
        <v>68000</v>
      </c>
      <c r="H25" s="10">
        <v>820</v>
      </c>
      <c r="I25" s="12">
        <v>560</v>
      </c>
      <c r="J25" s="12">
        <v>1040</v>
      </c>
      <c r="K25" s="11">
        <v>0.538</v>
      </c>
      <c r="L25" s="26">
        <v>0.0120588235294118</v>
      </c>
      <c r="M25" s="11">
        <v>0.1269562245172</v>
      </c>
      <c r="N25" s="27">
        <v>0.682926829268293</v>
      </c>
      <c r="O25" s="28">
        <v>1.85714285714286</v>
      </c>
      <c r="P25" s="29">
        <v>0.18</v>
      </c>
      <c r="Q25" s="13">
        <v>20</v>
      </c>
      <c r="R25" s="13">
        <v>3</v>
      </c>
    </row>
    <row r="26" ht="18" customHeight="1" spans="1:18" x14ac:dyDescent="0.25">
      <c r="A26" s="14" t="s">
        <v>105</v>
      </c>
      <c r="B26" s="15" t="s">
        <v>106</v>
      </c>
      <c r="C26" s="14" t="s">
        <v>55</v>
      </c>
      <c r="D26" s="14" t="s">
        <v>84</v>
      </c>
      <c r="E26" s="14" t="s">
        <v>36</v>
      </c>
      <c r="F26" s="15" t="s">
        <v>37</v>
      </c>
      <c r="G26" s="16">
        <v>84000</v>
      </c>
      <c r="H26" s="16">
        <v>760</v>
      </c>
      <c r="I26" s="18">
        <v>480</v>
      </c>
      <c r="J26" s="18">
        <v>820</v>
      </c>
      <c r="K26" s="17">
        <v>0.585</v>
      </c>
      <c r="L26" s="30">
        <v>0.00904761904761905</v>
      </c>
      <c r="M26" s="17">
        <v>0.108002739581687</v>
      </c>
      <c r="N26" s="31">
        <v>0.631578947368421</v>
      </c>
      <c r="O26" s="32">
        <v>1.70833333333333</v>
      </c>
      <c r="P26" s="33">
        <v>0.08</v>
      </c>
      <c r="Q26" s="19">
        <v>15</v>
      </c>
      <c r="R26" s="19">
        <v>3</v>
      </c>
    </row>
    <row r="27" ht="18" customHeight="1" spans="1:18" x14ac:dyDescent="0.25">
      <c r="A27" s="8" t="s">
        <v>107</v>
      </c>
      <c r="B27" s="9" t="s">
        <v>108</v>
      </c>
      <c r="C27" s="8" t="s">
        <v>65</v>
      </c>
      <c r="D27" s="8" t="s">
        <v>70</v>
      </c>
      <c r="E27" s="8" t="s">
        <v>36</v>
      </c>
      <c r="F27" s="9" t="s">
        <v>37</v>
      </c>
      <c r="G27" s="10">
        <v>52000</v>
      </c>
      <c r="H27" s="10">
        <v>380</v>
      </c>
      <c r="I27" s="12">
        <v>240</v>
      </c>
      <c r="J27" s="12">
        <v>420</v>
      </c>
      <c r="K27" s="11">
        <v>0.571</v>
      </c>
      <c r="L27" s="26">
        <v>0.00730769230769231</v>
      </c>
      <c r="M27" s="11">
        <v>0.110636952742216</v>
      </c>
      <c r="N27" s="27">
        <v>0.631578947368421</v>
      </c>
      <c r="O27" s="28">
        <v>1.75</v>
      </c>
      <c r="P27" s="29">
        <v>0.38</v>
      </c>
      <c r="Q27" s="13">
        <v>30</v>
      </c>
      <c r="R27" s="13">
        <v>3</v>
      </c>
    </row>
    <row r="28" ht="19.5" customHeight="1" spans="1:17" x14ac:dyDescent="0.25">
      <c r="A28" s="20" t="s">
        <v>38</v>
      </c>
      <c r="B28" s="20"/>
      <c r="C28" s="20"/>
      <c r="D28" s="20"/>
      <c r="E28" s="20"/>
      <c r="F28" s="20"/>
      <c r="G28" s="21">
        <f>SUM(G5:G27)</f>
        <v>2475600</v>
      </c>
      <c r="H28" s="21">
        <f>SUM(H5:H27)</f>
        <v>24738</v>
      </c>
      <c r="I28" s="23">
        <f>SUM(I5:I27)</f>
        <v>15904</v>
      </c>
      <c r="J28" s="23">
        <f>SUM(J5:J27)</f>
        <v>47807</v>
      </c>
      <c r="K28" s="22">
        <v>0.3327</v>
      </c>
      <c r="L28" s="34">
        <f>AVERAGE(L5:L27)</f>
        <v>0.0106516972048577</v>
      </c>
      <c r="M28" s="22">
        <f>AVERAGE(M5:M27)</f>
        <v>0.187514039488199</v>
      </c>
      <c r="N28" s="35">
        <v>0.64</v>
      </c>
      <c r="O28" s="36">
        <v>3.01</v>
      </c>
      <c r="P28" s="37">
        <f>AVERAGE(P5:P27)</f>
        <v>0.380434782608696</v>
      </c>
      <c r="Q28" s="38">
        <f>AVERAGE(Q5:Q27)</f>
        <v>31.304347826087</v>
      </c>
    </row>
    <row r="30" ht="15.75" customHeight="1" spans="1:18" x14ac:dyDescent="0.25">
      <c r="A30" s="39" t="s">
        <v>109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</sheetData>
  <mergeCells count="3">
    <mergeCell ref="A1:R1"/>
    <mergeCell ref="A28:F28"/>
    <mergeCell ref="A30:R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4A6E"/>
  </sheetPr>
  <dimension ref="A1:O7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3" customWidth="1"/>
    <col min="3" max="3" width="22" customWidth="1"/>
    <col min="5" max="5" width="8" customWidth="1"/>
    <col min="6" max="6" width="32" customWidth="1"/>
    <col min="8" max="8" width="13" customWidth="1"/>
    <col min="9" max="9" width="12" customWidth="1"/>
    <col min="10" max="10" width="8" customWidth="1"/>
    <col min="11" max="12" width="10" customWidth="1"/>
    <col min="14" max="14" width="8" customWidth="1"/>
    <col min="15" max="15" width="11" customWidth="1"/>
  </cols>
  <sheetData>
    <row r="1" ht="37.5" customHeight="1" spans="1:15" x14ac:dyDescent="0.25">
      <c r="A1" s="24" t="s">
        <v>110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ht="15" customHeight="1" spans="1:15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ht="4.5" customHeight="1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6" customHeight="1" spans="1:15" x14ac:dyDescent="0.25">
      <c r="A4" s="7" t="s">
        <v>40</v>
      </c>
      <c r="B4" s="7" t="s">
        <v>14</v>
      </c>
      <c r="C4" s="7" t="s">
        <v>15</v>
      </c>
      <c r="D4" s="7" t="s">
        <v>42</v>
      </c>
      <c r="E4" s="7" t="s">
        <v>43</v>
      </c>
      <c r="F4" s="7" t="s">
        <v>111</v>
      </c>
      <c r="G4" s="7" t="s">
        <v>112</v>
      </c>
      <c r="H4" s="7" t="s">
        <v>113</v>
      </c>
      <c r="I4" s="7" t="s">
        <v>21</v>
      </c>
      <c r="J4" s="7" t="s">
        <v>22</v>
      </c>
      <c r="K4" s="7" t="s">
        <v>44</v>
      </c>
      <c r="L4" s="7" t="s">
        <v>45</v>
      </c>
      <c r="M4" s="7" t="s">
        <v>23</v>
      </c>
      <c r="N4" s="7" t="s">
        <v>47</v>
      </c>
      <c r="O4" s="7" t="s">
        <v>50</v>
      </c>
    </row>
    <row r="5" ht="19.5" customHeight="1" spans="1:15" x14ac:dyDescent="0.25">
      <c r="A5" s="8" t="s">
        <v>53</v>
      </c>
      <c r="B5" s="8" t="s">
        <v>26</v>
      </c>
      <c r="C5" s="40" t="s">
        <v>27</v>
      </c>
      <c r="D5" s="8" t="s">
        <v>55</v>
      </c>
      <c r="E5" s="8" t="s">
        <v>56</v>
      </c>
      <c r="F5" s="40" t="s">
        <v>114</v>
      </c>
      <c r="G5" s="8">
        <v>1</v>
      </c>
      <c r="H5" s="10">
        <v>28000</v>
      </c>
      <c r="I5" s="10">
        <v>52000</v>
      </c>
      <c r="J5" s="10">
        <v>920</v>
      </c>
      <c r="K5" s="12">
        <v>580</v>
      </c>
      <c r="L5" s="12">
        <v>2310</v>
      </c>
      <c r="M5" s="11">
        <v>0.251</v>
      </c>
      <c r="N5" s="11">
        <v>0.18</v>
      </c>
      <c r="O5" s="29">
        <v>0.76</v>
      </c>
    </row>
    <row r="6" ht="19.5" customHeight="1" spans="1:15" x14ac:dyDescent="0.25">
      <c r="A6" s="14" t="s">
        <v>53</v>
      </c>
      <c r="B6" s="14" t="s">
        <v>26</v>
      </c>
      <c r="C6" s="41" t="s">
        <v>27</v>
      </c>
      <c r="D6" s="14" t="s">
        <v>55</v>
      </c>
      <c r="E6" s="14" t="s">
        <v>56</v>
      </c>
      <c r="F6" s="41" t="s">
        <v>115</v>
      </c>
      <c r="G6" s="14">
        <v>2</v>
      </c>
      <c r="H6" s="16">
        <v>42000</v>
      </c>
      <c r="I6" s="16">
        <v>28000</v>
      </c>
      <c r="J6" s="16">
        <v>620</v>
      </c>
      <c r="K6" s="18">
        <v>340</v>
      </c>
      <c r="L6" s="18">
        <v>1480</v>
      </c>
      <c r="M6" s="17">
        <v>0.23</v>
      </c>
      <c r="N6" s="17">
        <v>0.2</v>
      </c>
      <c r="O6" s="33">
        <v>0.76</v>
      </c>
    </row>
    <row r="7" ht="19.5" customHeight="1" spans="1:15" x14ac:dyDescent="0.25">
      <c r="A7" s="8" t="s">
        <v>53</v>
      </c>
      <c r="B7" s="8" t="s">
        <v>26</v>
      </c>
      <c r="C7" s="40" t="s">
        <v>27</v>
      </c>
      <c r="D7" s="8" t="s">
        <v>55</v>
      </c>
      <c r="E7" s="8" t="s">
        <v>56</v>
      </c>
      <c r="F7" s="40" t="s">
        <v>116</v>
      </c>
      <c r="G7" s="8">
        <v>9</v>
      </c>
      <c r="H7" s="10">
        <v>8400</v>
      </c>
      <c r="I7" s="10">
        <v>18400</v>
      </c>
      <c r="J7" s="10">
        <v>284</v>
      </c>
      <c r="K7" s="12">
        <v>200</v>
      </c>
      <c r="L7" s="12">
        <v>772</v>
      </c>
      <c r="M7" s="11">
        <v>0.259</v>
      </c>
      <c r="N7" s="11">
        <v>0.14</v>
      </c>
      <c r="O7" s="29">
        <v>0.76</v>
      </c>
    </row>
    <row r="8" ht="19.5" customHeight="1" spans="1:15" x14ac:dyDescent="0.25">
      <c r="A8" s="14" t="s">
        <v>57</v>
      </c>
      <c r="B8" s="14" t="s">
        <v>26</v>
      </c>
      <c r="C8" s="41" t="s">
        <v>27</v>
      </c>
      <c r="D8" s="14" t="s">
        <v>55</v>
      </c>
      <c r="E8" s="14" t="s">
        <v>59</v>
      </c>
      <c r="F8" s="41" t="s">
        <v>114</v>
      </c>
      <c r="G8" s="14">
        <v>1</v>
      </c>
      <c r="H8" s="16">
        <v>28000</v>
      </c>
      <c r="I8" s="16">
        <v>44000</v>
      </c>
      <c r="J8" s="16">
        <v>780</v>
      </c>
      <c r="K8" s="18">
        <v>620</v>
      </c>
      <c r="L8" s="18">
        <v>1260</v>
      </c>
      <c r="M8" s="17">
        <v>0.492</v>
      </c>
      <c r="N8" s="17">
        <v>0.11</v>
      </c>
      <c r="O8" s="33">
        <v>0.22</v>
      </c>
    </row>
    <row r="9" ht="19.5" customHeight="1" spans="1:15" x14ac:dyDescent="0.25">
      <c r="A9" s="8" t="s">
        <v>57</v>
      </c>
      <c r="B9" s="8" t="s">
        <v>26</v>
      </c>
      <c r="C9" s="40" t="s">
        <v>27</v>
      </c>
      <c r="D9" s="8" t="s">
        <v>55</v>
      </c>
      <c r="E9" s="8" t="s">
        <v>59</v>
      </c>
      <c r="F9" s="40" t="s">
        <v>117</v>
      </c>
      <c r="G9" s="8"/>
      <c r="H9" s="10">
        <v>9200</v>
      </c>
      <c r="I9" s="10">
        <v>38000</v>
      </c>
      <c r="J9" s="10">
        <v>680</v>
      </c>
      <c r="K9" s="12">
        <v>560</v>
      </c>
      <c r="L9" s="12">
        <v>820</v>
      </c>
      <c r="M9" s="11">
        <v>0.683</v>
      </c>
      <c r="N9" s="11">
        <v>0.09</v>
      </c>
      <c r="O9" s="29">
        <v>0.22</v>
      </c>
    </row>
    <row r="10" ht="19.5" customHeight="1" spans="1:15" x14ac:dyDescent="0.25">
      <c r="A10" s="14" t="s">
        <v>57</v>
      </c>
      <c r="B10" s="14" t="s">
        <v>26</v>
      </c>
      <c r="C10" s="41" t="s">
        <v>27</v>
      </c>
      <c r="D10" s="14" t="s">
        <v>55</v>
      </c>
      <c r="E10" s="14" t="s">
        <v>59</v>
      </c>
      <c r="F10" s="41" t="s">
        <v>118</v>
      </c>
      <c r="G10" s="14">
        <v>14</v>
      </c>
      <c r="H10" s="16">
        <v>18000</v>
      </c>
      <c r="I10" s="16">
        <v>80000</v>
      </c>
      <c r="J10" s="16">
        <v>1020</v>
      </c>
      <c r="K10" s="18">
        <v>640</v>
      </c>
      <c r="L10" s="18">
        <v>1860</v>
      </c>
      <c r="M10" s="17">
        <v>0.344</v>
      </c>
      <c r="N10" s="17">
        <v>0.13</v>
      </c>
      <c r="O10" s="33">
        <v>0.22</v>
      </c>
    </row>
    <row r="11" ht="19.5" customHeight="1" spans="1:15" x14ac:dyDescent="0.25">
      <c r="A11" s="8" t="s">
        <v>60</v>
      </c>
      <c r="B11" s="8" t="s">
        <v>26</v>
      </c>
      <c r="C11" s="40" t="s">
        <v>27</v>
      </c>
      <c r="D11" s="8" t="s">
        <v>55</v>
      </c>
      <c r="E11" s="8" t="s">
        <v>62</v>
      </c>
      <c r="F11" s="40" t="s">
        <v>119</v>
      </c>
      <c r="G11" s="8"/>
      <c r="H11" s="8"/>
      <c r="I11" s="10">
        <v>28000</v>
      </c>
      <c r="J11" s="10">
        <v>340</v>
      </c>
      <c r="K11" s="12">
        <v>198</v>
      </c>
      <c r="L11" s="12">
        <v>590</v>
      </c>
      <c r="M11" s="11">
        <v>0.336</v>
      </c>
      <c r="N11" s="11">
        <v>0.12</v>
      </c>
      <c r="O11" s="29">
        <v>0.12</v>
      </c>
    </row>
    <row r="12" ht="19.5" customHeight="1" spans="1:15" x14ac:dyDescent="0.25">
      <c r="A12" s="14" t="s">
        <v>60</v>
      </c>
      <c r="B12" s="14" t="s">
        <v>26</v>
      </c>
      <c r="C12" s="41" t="s">
        <v>27</v>
      </c>
      <c r="D12" s="14" t="s">
        <v>55</v>
      </c>
      <c r="E12" s="14" t="s">
        <v>62</v>
      </c>
      <c r="F12" s="41" t="s">
        <v>120</v>
      </c>
      <c r="G12" s="14"/>
      <c r="H12" s="14"/>
      <c r="I12" s="16">
        <v>26000</v>
      </c>
      <c r="J12" s="16">
        <v>310</v>
      </c>
      <c r="K12" s="18">
        <v>182</v>
      </c>
      <c r="L12" s="18">
        <v>560</v>
      </c>
      <c r="M12" s="17">
        <v>0.325</v>
      </c>
      <c r="N12" s="17">
        <v>0.11</v>
      </c>
      <c r="O12" s="33">
        <v>0.12</v>
      </c>
    </row>
    <row r="13" ht="19.5" customHeight="1" spans="1:15" x14ac:dyDescent="0.25">
      <c r="A13" s="8" t="s">
        <v>60</v>
      </c>
      <c r="B13" s="8" t="s">
        <v>26</v>
      </c>
      <c r="C13" s="40" t="s">
        <v>27</v>
      </c>
      <c r="D13" s="8" t="s">
        <v>55</v>
      </c>
      <c r="E13" s="8" t="s">
        <v>62</v>
      </c>
      <c r="F13" s="40" t="s">
        <v>121</v>
      </c>
      <c r="G13" s="8"/>
      <c r="H13" s="8"/>
      <c r="I13" s="10">
        <v>20200</v>
      </c>
      <c r="J13" s="10">
        <v>240</v>
      </c>
      <c r="K13" s="12">
        <v>140</v>
      </c>
      <c r="L13" s="12">
        <v>530</v>
      </c>
      <c r="M13" s="11">
        <v>0.264</v>
      </c>
      <c r="N13" s="11">
        <v>0.13</v>
      </c>
      <c r="O13" s="29">
        <v>0.12</v>
      </c>
    </row>
    <row r="14" ht="19.5" customHeight="1" spans="1:15" x14ac:dyDescent="0.25">
      <c r="A14" s="14" t="s">
        <v>63</v>
      </c>
      <c r="B14" s="14" t="s">
        <v>26</v>
      </c>
      <c r="C14" s="41" t="s">
        <v>27</v>
      </c>
      <c r="D14" s="14" t="s">
        <v>65</v>
      </c>
      <c r="E14" s="14" t="s">
        <v>59</v>
      </c>
      <c r="F14" s="41" t="s">
        <v>114</v>
      </c>
      <c r="G14" s="14">
        <v>1</v>
      </c>
      <c r="H14" s="16">
        <v>28000</v>
      </c>
      <c r="I14" s="16">
        <v>94000</v>
      </c>
      <c r="J14" s="16">
        <v>720</v>
      </c>
      <c r="K14" s="18">
        <v>342</v>
      </c>
      <c r="L14" s="18">
        <v>2100</v>
      </c>
      <c r="M14" s="17">
        <v>0.163</v>
      </c>
      <c r="N14" s="17">
        <v>0.19</v>
      </c>
      <c r="O14" s="33">
        <v>0.82</v>
      </c>
    </row>
    <row r="15" ht="19.5" customHeight="1" spans="1:15" x14ac:dyDescent="0.25">
      <c r="A15" s="8" t="s">
        <v>63</v>
      </c>
      <c r="B15" s="8" t="s">
        <v>26</v>
      </c>
      <c r="C15" s="40" t="s">
        <v>27</v>
      </c>
      <c r="D15" s="8" t="s">
        <v>65</v>
      </c>
      <c r="E15" s="8" t="s">
        <v>59</v>
      </c>
      <c r="F15" s="40" t="s">
        <v>122</v>
      </c>
      <c r="G15" s="8"/>
      <c r="H15" s="8"/>
      <c r="I15" s="10">
        <v>52000</v>
      </c>
      <c r="J15" s="10">
        <v>480</v>
      </c>
      <c r="K15" s="12">
        <v>228</v>
      </c>
      <c r="L15" s="12">
        <v>1280</v>
      </c>
      <c r="M15" s="11">
        <v>0.178</v>
      </c>
      <c r="N15" s="11">
        <v>0.2</v>
      </c>
      <c r="O15" s="29">
        <v>0.82</v>
      </c>
    </row>
    <row r="16" ht="19.5" customHeight="1" spans="1:15" x14ac:dyDescent="0.25">
      <c r="A16" s="14" t="s">
        <v>63</v>
      </c>
      <c r="B16" s="14" t="s">
        <v>26</v>
      </c>
      <c r="C16" s="41" t="s">
        <v>27</v>
      </c>
      <c r="D16" s="14" t="s">
        <v>65</v>
      </c>
      <c r="E16" s="14" t="s">
        <v>59</v>
      </c>
      <c r="F16" s="41" t="s">
        <v>123</v>
      </c>
      <c r="G16" s="14">
        <v>4</v>
      </c>
      <c r="H16" s="16">
        <v>14000</v>
      </c>
      <c r="I16" s="16">
        <v>42000</v>
      </c>
      <c r="J16" s="16">
        <v>220</v>
      </c>
      <c r="K16" s="18">
        <v>110</v>
      </c>
      <c r="L16" s="18">
        <v>460</v>
      </c>
      <c r="M16" s="17">
        <v>0.239</v>
      </c>
      <c r="N16" s="17">
        <v>0.15</v>
      </c>
      <c r="O16" s="33">
        <v>0.82</v>
      </c>
    </row>
    <row r="17" ht="19.5" customHeight="1" spans="1:15" x14ac:dyDescent="0.25">
      <c r="A17" s="8" t="s">
        <v>66</v>
      </c>
      <c r="B17" s="8" t="s">
        <v>28</v>
      </c>
      <c r="C17" s="40" t="s">
        <v>29</v>
      </c>
      <c r="D17" s="8" t="s">
        <v>55</v>
      </c>
      <c r="E17" s="8" t="s">
        <v>56</v>
      </c>
      <c r="F17" s="40" t="s">
        <v>124</v>
      </c>
      <c r="G17" s="8">
        <v>3</v>
      </c>
      <c r="H17" s="10">
        <v>88000</v>
      </c>
      <c r="I17" s="10">
        <v>42000</v>
      </c>
      <c r="J17" s="10">
        <v>520</v>
      </c>
      <c r="K17" s="12">
        <v>356</v>
      </c>
      <c r="L17" s="12">
        <v>1540</v>
      </c>
      <c r="M17" s="11">
        <v>0.231</v>
      </c>
      <c r="N17" s="11">
        <v>0.19</v>
      </c>
      <c r="O17" s="29">
        <v>0.68</v>
      </c>
    </row>
    <row r="18" ht="19.5" customHeight="1" spans="1:15" x14ac:dyDescent="0.25">
      <c r="A18" s="14" t="s">
        <v>66</v>
      </c>
      <c r="B18" s="14" t="s">
        <v>28</v>
      </c>
      <c r="C18" s="41" t="s">
        <v>29</v>
      </c>
      <c r="D18" s="14" t="s">
        <v>55</v>
      </c>
      <c r="E18" s="14" t="s">
        <v>56</v>
      </c>
      <c r="F18" s="41" t="s">
        <v>125</v>
      </c>
      <c r="G18" s="14">
        <v>5</v>
      </c>
      <c r="H18" s="16">
        <v>32000</v>
      </c>
      <c r="I18" s="16">
        <v>28000</v>
      </c>
      <c r="J18" s="16">
        <v>360</v>
      </c>
      <c r="K18" s="18">
        <v>238</v>
      </c>
      <c r="L18" s="18">
        <v>1020</v>
      </c>
      <c r="M18" s="17">
        <v>0.233</v>
      </c>
      <c r="N18" s="17">
        <v>0.18</v>
      </c>
      <c r="O18" s="33">
        <v>0.68</v>
      </c>
    </row>
    <row r="19" ht="19.5" customHeight="1" spans="1:15" x14ac:dyDescent="0.25">
      <c r="A19" s="8" t="s">
        <v>66</v>
      </c>
      <c r="B19" s="8" t="s">
        <v>28</v>
      </c>
      <c r="C19" s="40" t="s">
        <v>29</v>
      </c>
      <c r="D19" s="8" t="s">
        <v>55</v>
      </c>
      <c r="E19" s="8" t="s">
        <v>56</v>
      </c>
      <c r="F19" s="40" t="s">
        <v>126</v>
      </c>
      <c r="G19" s="8">
        <v>8</v>
      </c>
      <c r="H19" s="10">
        <v>24000</v>
      </c>
      <c r="I19" s="10">
        <v>18400</v>
      </c>
      <c r="J19" s="10">
        <v>222</v>
      </c>
      <c r="K19" s="12">
        <v>160</v>
      </c>
      <c r="L19" s="12">
        <v>644</v>
      </c>
      <c r="M19" s="11">
        <v>0.248</v>
      </c>
      <c r="N19" s="11">
        <v>0.18</v>
      </c>
      <c r="O19" s="29">
        <v>0.68</v>
      </c>
    </row>
    <row r="20" ht="19.5" customHeight="1" spans="1:15" x14ac:dyDescent="0.25">
      <c r="A20" s="14" t="s">
        <v>68</v>
      </c>
      <c r="B20" s="14" t="s">
        <v>28</v>
      </c>
      <c r="C20" s="41" t="s">
        <v>29</v>
      </c>
      <c r="D20" s="14" t="s">
        <v>55</v>
      </c>
      <c r="E20" s="14" t="s">
        <v>70</v>
      </c>
      <c r="F20" s="41" t="s">
        <v>127</v>
      </c>
      <c r="G20" s="14"/>
      <c r="H20" s="16">
        <v>16000</v>
      </c>
      <c r="I20" s="16">
        <v>32000</v>
      </c>
      <c r="J20" s="16">
        <v>420</v>
      </c>
      <c r="K20" s="18">
        <v>370</v>
      </c>
      <c r="L20" s="18">
        <v>440</v>
      </c>
      <c r="M20" s="17">
        <v>0.841</v>
      </c>
      <c r="N20" s="17">
        <v>0.08</v>
      </c>
      <c r="O20" s="33">
        <v>0.18</v>
      </c>
    </row>
    <row r="21" ht="19.5" customHeight="1" spans="1:15" x14ac:dyDescent="0.25">
      <c r="A21" s="8" t="s">
        <v>68</v>
      </c>
      <c r="B21" s="8" t="s">
        <v>28</v>
      </c>
      <c r="C21" s="40" t="s">
        <v>29</v>
      </c>
      <c r="D21" s="8" t="s">
        <v>55</v>
      </c>
      <c r="E21" s="8" t="s">
        <v>70</v>
      </c>
      <c r="F21" s="40" t="s">
        <v>128</v>
      </c>
      <c r="G21" s="8"/>
      <c r="H21" s="8"/>
      <c r="I21" s="10">
        <v>28000</v>
      </c>
      <c r="J21" s="10">
        <v>380</v>
      </c>
      <c r="K21" s="12">
        <v>340</v>
      </c>
      <c r="L21" s="12">
        <v>320</v>
      </c>
      <c r="M21" s="11">
        <v>1.063</v>
      </c>
      <c r="N21" s="11">
        <v>0.06</v>
      </c>
      <c r="O21" s="29">
        <v>0.18</v>
      </c>
    </row>
    <row r="22" ht="19.5" customHeight="1" spans="1:15" x14ac:dyDescent="0.25">
      <c r="A22" s="14" t="s">
        <v>68</v>
      </c>
      <c r="B22" s="14" t="s">
        <v>28</v>
      </c>
      <c r="C22" s="41" t="s">
        <v>29</v>
      </c>
      <c r="D22" s="14" t="s">
        <v>55</v>
      </c>
      <c r="E22" s="14" t="s">
        <v>70</v>
      </c>
      <c r="F22" s="41" t="s">
        <v>129</v>
      </c>
      <c r="G22" s="14">
        <v>3</v>
      </c>
      <c r="H22" s="16">
        <v>88000</v>
      </c>
      <c r="I22" s="16">
        <v>34000</v>
      </c>
      <c r="J22" s="16">
        <v>380</v>
      </c>
      <c r="K22" s="18">
        <v>330</v>
      </c>
      <c r="L22" s="18">
        <v>860</v>
      </c>
      <c r="M22" s="17">
        <v>0.384</v>
      </c>
      <c r="N22" s="17">
        <v>0.14</v>
      </c>
      <c r="O22" s="33">
        <v>0.18</v>
      </c>
    </row>
    <row r="23" ht="19.5" customHeight="1" spans="1:15" x14ac:dyDescent="0.25">
      <c r="A23" s="8" t="s">
        <v>71</v>
      </c>
      <c r="B23" s="8" t="s">
        <v>28</v>
      </c>
      <c r="C23" s="40" t="s">
        <v>29</v>
      </c>
      <c r="D23" s="8" t="s">
        <v>73</v>
      </c>
      <c r="E23" s="8" t="s">
        <v>74</v>
      </c>
      <c r="F23" s="40" t="s">
        <v>130</v>
      </c>
      <c r="G23" s="8"/>
      <c r="H23" s="8"/>
      <c r="I23" s="10">
        <v>110000</v>
      </c>
      <c r="J23" s="10">
        <v>490</v>
      </c>
      <c r="K23" s="12">
        <v>362</v>
      </c>
      <c r="L23" s="12">
        <v>480</v>
      </c>
      <c r="M23" s="11">
        <v>0.754</v>
      </c>
      <c r="N23" s="11">
        <v>0.06</v>
      </c>
      <c r="O23" s="29">
        <v>0.06</v>
      </c>
    </row>
    <row r="24" ht="19.5" customHeight="1" spans="1:15" x14ac:dyDescent="0.25">
      <c r="A24" s="14" t="s">
        <v>71</v>
      </c>
      <c r="B24" s="14" t="s">
        <v>28</v>
      </c>
      <c r="C24" s="41" t="s">
        <v>29</v>
      </c>
      <c r="D24" s="14" t="s">
        <v>73</v>
      </c>
      <c r="E24" s="14" t="s">
        <v>74</v>
      </c>
      <c r="F24" s="41" t="s">
        <v>131</v>
      </c>
      <c r="G24" s="14"/>
      <c r="H24" s="14"/>
      <c r="I24" s="16">
        <v>74000</v>
      </c>
      <c r="J24" s="16">
        <v>320</v>
      </c>
      <c r="K24" s="18">
        <v>238</v>
      </c>
      <c r="L24" s="18">
        <v>360</v>
      </c>
      <c r="M24" s="17">
        <v>0.661</v>
      </c>
      <c r="N24" s="17">
        <v>0.07</v>
      </c>
      <c r="O24" s="33">
        <v>0.06</v>
      </c>
    </row>
    <row r="25" ht="19.5" customHeight="1" spans="1:15" x14ac:dyDescent="0.25">
      <c r="A25" s="8" t="s">
        <v>71</v>
      </c>
      <c r="B25" s="8" t="s">
        <v>28</v>
      </c>
      <c r="C25" s="40" t="s">
        <v>29</v>
      </c>
      <c r="D25" s="8" t="s">
        <v>73</v>
      </c>
      <c r="E25" s="8" t="s">
        <v>74</v>
      </c>
      <c r="F25" s="40" t="s">
        <v>132</v>
      </c>
      <c r="G25" s="8"/>
      <c r="H25" s="8"/>
      <c r="I25" s="10">
        <v>40000</v>
      </c>
      <c r="J25" s="10">
        <v>170</v>
      </c>
      <c r="K25" s="12">
        <v>120</v>
      </c>
      <c r="L25" s="12">
        <v>200</v>
      </c>
      <c r="M25" s="11">
        <v>0.6</v>
      </c>
      <c r="N25" s="11">
        <v>0.08</v>
      </c>
      <c r="O25" s="29">
        <v>0.06</v>
      </c>
    </row>
    <row r="26" ht="19.5" customHeight="1" spans="1:15" x14ac:dyDescent="0.25">
      <c r="A26" s="14" t="s">
        <v>75</v>
      </c>
      <c r="B26" s="14" t="s">
        <v>28</v>
      </c>
      <c r="C26" s="41" t="s">
        <v>29</v>
      </c>
      <c r="D26" s="14" t="s">
        <v>77</v>
      </c>
      <c r="E26" s="14" t="s">
        <v>70</v>
      </c>
      <c r="F26" s="41" t="s">
        <v>129</v>
      </c>
      <c r="G26" s="14">
        <v>3</v>
      </c>
      <c r="H26" s="16">
        <v>88000</v>
      </c>
      <c r="I26" s="16">
        <v>78000</v>
      </c>
      <c r="J26" s="16">
        <v>620</v>
      </c>
      <c r="K26" s="18">
        <v>260</v>
      </c>
      <c r="L26" s="18">
        <v>1340</v>
      </c>
      <c r="M26" s="17">
        <v>0.194</v>
      </c>
      <c r="N26" s="17">
        <v>0.2</v>
      </c>
      <c r="O26" s="33">
        <v>0.72</v>
      </c>
    </row>
    <row r="27" ht="19.5" customHeight="1" spans="1:15" x14ac:dyDescent="0.25">
      <c r="A27" s="8" t="s">
        <v>75</v>
      </c>
      <c r="B27" s="8" t="s">
        <v>28</v>
      </c>
      <c r="C27" s="40" t="s">
        <v>29</v>
      </c>
      <c r="D27" s="8" t="s">
        <v>77</v>
      </c>
      <c r="E27" s="8" t="s">
        <v>70</v>
      </c>
      <c r="F27" s="40" t="s">
        <v>133</v>
      </c>
      <c r="G27" s="8">
        <v>14</v>
      </c>
      <c r="H27" s="10">
        <v>7200</v>
      </c>
      <c r="I27" s="10">
        <v>46000</v>
      </c>
      <c r="J27" s="10">
        <v>380</v>
      </c>
      <c r="K27" s="12">
        <v>162</v>
      </c>
      <c r="L27" s="12">
        <v>800</v>
      </c>
      <c r="M27" s="11">
        <v>0.203</v>
      </c>
      <c r="N27" s="11">
        <v>0.19</v>
      </c>
      <c r="O27" s="29">
        <v>0.72</v>
      </c>
    </row>
    <row r="28" ht="19.5" customHeight="1" spans="1:15" x14ac:dyDescent="0.25">
      <c r="A28" s="14" t="s">
        <v>75</v>
      </c>
      <c r="B28" s="14" t="s">
        <v>28</v>
      </c>
      <c r="C28" s="41" t="s">
        <v>29</v>
      </c>
      <c r="D28" s="14" t="s">
        <v>77</v>
      </c>
      <c r="E28" s="14" t="s">
        <v>70</v>
      </c>
      <c r="F28" s="41" t="s">
        <v>134</v>
      </c>
      <c r="G28" s="14">
        <v>8</v>
      </c>
      <c r="H28" s="16">
        <v>14000</v>
      </c>
      <c r="I28" s="16">
        <v>32000</v>
      </c>
      <c r="J28" s="16">
        <v>240</v>
      </c>
      <c r="K28" s="18">
        <v>98</v>
      </c>
      <c r="L28" s="18">
        <v>500</v>
      </c>
      <c r="M28" s="17">
        <v>0.196</v>
      </c>
      <c r="N28" s="17">
        <v>0.19</v>
      </c>
      <c r="O28" s="33">
        <v>0.72</v>
      </c>
    </row>
    <row r="29" ht="19.5" customHeight="1" spans="1:15" x14ac:dyDescent="0.25">
      <c r="A29" s="8" t="s">
        <v>78</v>
      </c>
      <c r="B29" s="8" t="s">
        <v>30</v>
      </c>
      <c r="C29" s="40" t="s">
        <v>31</v>
      </c>
      <c r="D29" s="8" t="s">
        <v>55</v>
      </c>
      <c r="E29" s="8" t="s">
        <v>56</v>
      </c>
      <c r="F29" s="40" t="s">
        <v>135</v>
      </c>
      <c r="G29" s="8">
        <v>4</v>
      </c>
      <c r="H29" s="10">
        <v>54000</v>
      </c>
      <c r="I29" s="10">
        <v>38000</v>
      </c>
      <c r="J29" s="10">
        <v>440</v>
      </c>
      <c r="K29" s="12">
        <v>288</v>
      </c>
      <c r="L29" s="12">
        <v>1260</v>
      </c>
      <c r="M29" s="11">
        <v>0.229</v>
      </c>
      <c r="N29" s="11">
        <v>0.19</v>
      </c>
      <c r="O29" s="29">
        <v>0.42</v>
      </c>
    </row>
    <row r="30" ht="19.5" customHeight="1" spans="1:15" x14ac:dyDescent="0.25">
      <c r="A30" s="14" t="s">
        <v>78</v>
      </c>
      <c r="B30" s="14" t="s">
        <v>30</v>
      </c>
      <c r="C30" s="41" t="s">
        <v>31</v>
      </c>
      <c r="D30" s="14" t="s">
        <v>55</v>
      </c>
      <c r="E30" s="14" t="s">
        <v>56</v>
      </c>
      <c r="F30" s="41" t="s">
        <v>136</v>
      </c>
      <c r="G30" s="14">
        <v>6</v>
      </c>
      <c r="H30" s="16">
        <v>38000</v>
      </c>
      <c r="I30" s="16">
        <v>22000</v>
      </c>
      <c r="J30" s="16">
        <v>280</v>
      </c>
      <c r="K30" s="18">
        <v>182</v>
      </c>
      <c r="L30" s="18">
        <v>800</v>
      </c>
      <c r="M30" s="17">
        <v>0.228</v>
      </c>
      <c r="N30" s="17">
        <v>0.19</v>
      </c>
      <c r="O30" s="33">
        <v>0.42</v>
      </c>
    </row>
    <row r="31" ht="19.5" customHeight="1" spans="1:15" x14ac:dyDescent="0.25">
      <c r="A31" s="8" t="s">
        <v>78</v>
      </c>
      <c r="B31" s="8" t="s">
        <v>30</v>
      </c>
      <c r="C31" s="40" t="s">
        <v>31</v>
      </c>
      <c r="D31" s="8" t="s">
        <v>55</v>
      </c>
      <c r="E31" s="8" t="s">
        <v>56</v>
      </c>
      <c r="F31" s="40" t="s">
        <v>137</v>
      </c>
      <c r="G31" s="8">
        <v>7</v>
      </c>
      <c r="H31" s="10">
        <v>72000</v>
      </c>
      <c r="I31" s="10">
        <v>14200</v>
      </c>
      <c r="J31" s="10">
        <v>172</v>
      </c>
      <c r="K31" s="12">
        <v>110</v>
      </c>
      <c r="L31" s="12">
        <v>500</v>
      </c>
      <c r="M31" s="11">
        <v>0.22</v>
      </c>
      <c r="N31" s="11">
        <v>0.19</v>
      </c>
      <c r="O31" s="29">
        <v>0.42</v>
      </c>
    </row>
    <row r="32" ht="19.5" customHeight="1" spans="1:15" x14ac:dyDescent="0.25">
      <c r="A32" s="14" t="s">
        <v>80</v>
      </c>
      <c r="B32" s="14" t="s">
        <v>30</v>
      </c>
      <c r="C32" s="41" t="s">
        <v>31</v>
      </c>
      <c r="D32" s="14" t="s">
        <v>55</v>
      </c>
      <c r="E32" s="14" t="s">
        <v>70</v>
      </c>
      <c r="F32" s="41" t="s">
        <v>135</v>
      </c>
      <c r="G32" s="14">
        <v>4</v>
      </c>
      <c r="H32" s="16">
        <v>54000</v>
      </c>
      <c r="I32" s="16">
        <v>48000</v>
      </c>
      <c r="J32" s="16">
        <v>620</v>
      </c>
      <c r="K32" s="18">
        <v>438</v>
      </c>
      <c r="L32" s="18">
        <v>980</v>
      </c>
      <c r="M32" s="17">
        <v>0.447</v>
      </c>
      <c r="N32" s="17">
        <v>0.1</v>
      </c>
      <c r="O32" s="33">
        <v>0.16</v>
      </c>
    </row>
    <row r="33" ht="19.5" customHeight="1" spans="1:15" x14ac:dyDescent="0.25">
      <c r="A33" s="8" t="s">
        <v>80</v>
      </c>
      <c r="B33" s="8" t="s">
        <v>30</v>
      </c>
      <c r="C33" s="40" t="s">
        <v>31</v>
      </c>
      <c r="D33" s="8" t="s">
        <v>55</v>
      </c>
      <c r="E33" s="8" t="s">
        <v>70</v>
      </c>
      <c r="F33" s="40" t="s">
        <v>138</v>
      </c>
      <c r="G33" s="8"/>
      <c r="H33" s="8"/>
      <c r="I33" s="10">
        <v>38000</v>
      </c>
      <c r="J33" s="10">
        <v>480</v>
      </c>
      <c r="K33" s="12">
        <v>362</v>
      </c>
      <c r="L33" s="12">
        <v>140</v>
      </c>
      <c r="M33" s="11">
        <v>2.586</v>
      </c>
      <c r="N33" s="11">
        <v>0.02</v>
      </c>
      <c r="O33" s="29">
        <v>0.16</v>
      </c>
    </row>
    <row r="34" ht="19.5" customHeight="1" spans="1:15" x14ac:dyDescent="0.25">
      <c r="A34" s="14" t="s">
        <v>80</v>
      </c>
      <c r="B34" s="14" t="s">
        <v>30</v>
      </c>
      <c r="C34" s="41" t="s">
        <v>31</v>
      </c>
      <c r="D34" s="14" t="s">
        <v>55</v>
      </c>
      <c r="E34" s="14" t="s">
        <v>70</v>
      </c>
      <c r="F34" s="41" t="s">
        <v>139</v>
      </c>
      <c r="G34" s="14">
        <v>19</v>
      </c>
      <c r="H34" s="16">
        <v>28000</v>
      </c>
      <c r="I34" s="16">
        <v>22000</v>
      </c>
      <c r="J34" s="16">
        <v>240</v>
      </c>
      <c r="K34" s="18">
        <v>140</v>
      </c>
      <c r="L34" s="18">
        <v>660</v>
      </c>
      <c r="M34" s="17">
        <v>0.212</v>
      </c>
      <c r="N34" s="17">
        <v>0.14</v>
      </c>
      <c r="O34" s="33">
        <v>0.16</v>
      </c>
    </row>
    <row r="35" ht="19.5" customHeight="1" spans="1:15" x14ac:dyDescent="0.25">
      <c r="A35" s="8" t="s">
        <v>82</v>
      </c>
      <c r="B35" s="8" t="s">
        <v>30</v>
      </c>
      <c r="C35" s="40" t="s">
        <v>31</v>
      </c>
      <c r="D35" s="8" t="s">
        <v>55</v>
      </c>
      <c r="E35" s="8" t="s">
        <v>84</v>
      </c>
      <c r="F35" s="40" t="s">
        <v>140</v>
      </c>
      <c r="G35" s="8">
        <v>31</v>
      </c>
      <c r="H35" s="10">
        <v>9800</v>
      </c>
      <c r="I35" s="10">
        <v>38000</v>
      </c>
      <c r="J35" s="10">
        <v>340</v>
      </c>
      <c r="K35" s="12">
        <v>196</v>
      </c>
      <c r="L35" s="12">
        <v>560</v>
      </c>
      <c r="M35" s="11">
        <v>0.35</v>
      </c>
      <c r="N35" s="11">
        <v>0.12</v>
      </c>
      <c r="O35" s="29">
        <v>0.14</v>
      </c>
    </row>
    <row r="36" ht="19.5" customHeight="1" spans="1:15" x14ac:dyDescent="0.25">
      <c r="A36" s="14" t="s">
        <v>82</v>
      </c>
      <c r="B36" s="14" t="s">
        <v>30</v>
      </c>
      <c r="C36" s="41" t="s">
        <v>31</v>
      </c>
      <c r="D36" s="14" t="s">
        <v>55</v>
      </c>
      <c r="E36" s="14" t="s">
        <v>84</v>
      </c>
      <c r="F36" s="41" t="s">
        <v>141</v>
      </c>
      <c r="G36" s="14">
        <v>28</v>
      </c>
      <c r="H36" s="16">
        <v>12400</v>
      </c>
      <c r="I36" s="16">
        <v>42000</v>
      </c>
      <c r="J36" s="16">
        <v>380</v>
      </c>
      <c r="K36" s="18">
        <v>214</v>
      </c>
      <c r="L36" s="18">
        <v>620</v>
      </c>
      <c r="M36" s="17">
        <v>0.345</v>
      </c>
      <c r="N36" s="17">
        <v>0.13</v>
      </c>
      <c r="O36" s="33">
        <v>0.14</v>
      </c>
    </row>
    <row r="37" ht="19.5" customHeight="1" spans="1:15" x14ac:dyDescent="0.25">
      <c r="A37" s="8" t="s">
        <v>82</v>
      </c>
      <c r="B37" s="8" t="s">
        <v>30</v>
      </c>
      <c r="C37" s="40" t="s">
        <v>31</v>
      </c>
      <c r="D37" s="8" t="s">
        <v>55</v>
      </c>
      <c r="E37" s="8" t="s">
        <v>84</v>
      </c>
      <c r="F37" s="40" t="s">
        <v>142</v>
      </c>
      <c r="G37" s="8">
        <v>35</v>
      </c>
      <c r="H37" s="10">
        <v>7600</v>
      </c>
      <c r="I37" s="10">
        <v>32000</v>
      </c>
      <c r="J37" s="10">
        <v>260</v>
      </c>
      <c r="K37" s="12">
        <v>150</v>
      </c>
      <c r="L37" s="12">
        <v>460</v>
      </c>
      <c r="M37" s="11">
        <v>0.326</v>
      </c>
      <c r="N37" s="11">
        <v>0.12</v>
      </c>
      <c r="O37" s="29">
        <v>0.14</v>
      </c>
    </row>
    <row r="38" ht="19.5" customHeight="1" spans="1:15" x14ac:dyDescent="0.25">
      <c r="A38" s="14" t="s">
        <v>85</v>
      </c>
      <c r="B38" s="14" t="s">
        <v>32</v>
      </c>
      <c r="C38" s="41" t="s">
        <v>33</v>
      </c>
      <c r="D38" s="14" t="s">
        <v>55</v>
      </c>
      <c r="E38" s="14" t="s">
        <v>56</v>
      </c>
      <c r="F38" s="41" t="s">
        <v>143</v>
      </c>
      <c r="G38" s="14">
        <v>2</v>
      </c>
      <c r="H38" s="16">
        <v>64000</v>
      </c>
      <c r="I38" s="16">
        <v>48000</v>
      </c>
      <c r="J38" s="16">
        <v>660</v>
      </c>
      <c r="K38" s="18">
        <v>454</v>
      </c>
      <c r="L38" s="18">
        <v>1880</v>
      </c>
      <c r="M38" s="17">
        <v>0.241</v>
      </c>
      <c r="N38" s="17">
        <v>0.21</v>
      </c>
      <c r="O38" s="33">
        <v>0.71</v>
      </c>
    </row>
    <row r="39" ht="19.5" customHeight="1" spans="1:15" x14ac:dyDescent="0.25">
      <c r="A39" s="8" t="s">
        <v>85</v>
      </c>
      <c r="B39" s="8" t="s">
        <v>32</v>
      </c>
      <c r="C39" s="40" t="s">
        <v>33</v>
      </c>
      <c r="D39" s="8" t="s">
        <v>55</v>
      </c>
      <c r="E39" s="8" t="s">
        <v>56</v>
      </c>
      <c r="F39" s="40" t="s">
        <v>144</v>
      </c>
      <c r="G39" s="8">
        <v>3</v>
      </c>
      <c r="H39" s="10">
        <v>28000</v>
      </c>
      <c r="I39" s="10">
        <v>28000</v>
      </c>
      <c r="J39" s="10">
        <v>380</v>
      </c>
      <c r="K39" s="12">
        <v>262</v>
      </c>
      <c r="L39" s="12">
        <v>1060</v>
      </c>
      <c r="M39" s="11">
        <v>0.247</v>
      </c>
      <c r="N39" s="11">
        <v>0.2</v>
      </c>
      <c r="O39" s="29">
        <v>0.71</v>
      </c>
    </row>
    <row r="40" ht="19.5" customHeight="1" spans="1:15" x14ac:dyDescent="0.25">
      <c r="A40" s="14" t="s">
        <v>85</v>
      </c>
      <c r="B40" s="14" t="s">
        <v>32</v>
      </c>
      <c r="C40" s="41" t="s">
        <v>33</v>
      </c>
      <c r="D40" s="14" t="s">
        <v>55</v>
      </c>
      <c r="E40" s="14" t="s">
        <v>56</v>
      </c>
      <c r="F40" s="41" t="s">
        <v>145</v>
      </c>
      <c r="G40" s="14">
        <v>5</v>
      </c>
      <c r="H40" s="16">
        <v>22000</v>
      </c>
      <c r="I40" s="16">
        <v>16000</v>
      </c>
      <c r="J40" s="16">
        <v>240</v>
      </c>
      <c r="K40" s="18">
        <v>164</v>
      </c>
      <c r="L40" s="18">
        <v>680</v>
      </c>
      <c r="M40" s="17">
        <v>0.241</v>
      </c>
      <c r="N40" s="17">
        <v>0.21</v>
      </c>
      <c r="O40" s="33">
        <v>0.71</v>
      </c>
    </row>
    <row r="41" ht="19.5" customHeight="1" spans="1:15" x14ac:dyDescent="0.25">
      <c r="A41" s="8" t="s">
        <v>87</v>
      </c>
      <c r="B41" s="8" t="s">
        <v>32</v>
      </c>
      <c r="C41" s="40" t="s">
        <v>33</v>
      </c>
      <c r="D41" s="8" t="s">
        <v>65</v>
      </c>
      <c r="E41" s="8" t="s">
        <v>56</v>
      </c>
      <c r="F41" s="40" t="s">
        <v>146</v>
      </c>
      <c r="G41" s="8"/>
      <c r="H41" s="8"/>
      <c r="I41" s="10">
        <v>28000</v>
      </c>
      <c r="J41" s="10">
        <v>148</v>
      </c>
      <c r="K41" s="12">
        <v>132</v>
      </c>
      <c r="L41" s="12">
        <v>222</v>
      </c>
      <c r="M41" s="11">
        <v>0.595</v>
      </c>
      <c r="N41" s="11">
        <v>0.08</v>
      </c>
      <c r="O41" s="29">
        <v>0.44</v>
      </c>
    </row>
    <row r="42" ht="19.5" customHeight="1" spans="1:15" x14ac:dyDescent="0.25">
      <c r="A42" s="14" t="s">
        <v>87</v>
      </c>
      <c r="B42" s="14" t="s">
        <v>32</v>
      </c>
      <c r="C42" s="41" t="s">
        <v>33</v>
      </c>
      <c r="D42" s="14" t="s">
        <v>65</v>
      </c>
      <c r="E42" s="14" t="s">
        <v>56</v>
      </c>
      <c r="F42" s="41" t="s">
        <v>147</v>
      </c>
      <c r="G42" s="14"/>
      <c r="H42" s="14"/>
      <c r="I42" s="16">
        <v>30000</v>
      </c>
      <c r="J42" s="16">
        <v>156</v>
      </c>
      <c r="K42" s="18">
        <v>142</v>
      </c>
      <c r="L42" s="18">
        <v>268</v>
      </c>
      <c r="M42" s="17">
        <v>0.53</v>
      </c>
      <c r="N42" s="17">
        <v>0.07</v>
      </c>
      <c r="O42" s="33">
        <v>0.44</v>
      </c>
    </row>
    <row r="43" ht="19.5" customHeight="1" spans="1:15" x14ac:dyDescent="0.25">
      <c r="A43" s="8" t="s">
        <v>87</v>
      </c>
      <c r="B43" s="8" t="s">
        <v>32</v>
      </c>
      <c r="C43" s="40" t="s">
        <v>33</v>
      </c>
      <c r="D43" s="8" t="s">
        <v>65</v>
      </c>
      <c r="E43" s="8" t="s">
        <v>56</v>
      </c>
      <c r="F43" s="40" t="s">
        <v>148</v>
      </c>
      <c r="G43" s="8"/>
      <c r="H43" s="8"/>
      <c r="I43" s="10">
        <v>24000</v>
      </c>
      <c r="J43" s="10">
        <v>116</v>
      </c>
      <c r="K43" s="12">
        <v>106</v>
      </c>
      <c r="L43" s="12">
        <v>178</v>
      </c>
      <c r="M43" s="11">
        <v>0.596</v>
      </c>
      <c r="N43" s="11">
        <v>0.08</v>
      </c>
      <c r="O43" s="29">
        <v>0.44</v>
      </c>
    </row>
    <row r="44" ht="19.5" customHeight="1" spans="1:15" x14ac:dyDescent="0.25">
      <c r="A44" s="14" t="s">
        <v>89</v>
      </c>
      <c r="B44" s="14" t="s">
        <v>32</v>
      </c>
      <c r="C44" s="41" t="s">
        <v>33</v>
      </c>
      <c r="D44" s="14" t="s">
        <v>55</v>
      </c>
      <c r="E44" s="14" t="s">
        <v>62</v>
      </c>
      <c r="F44" s="41" t="s">
        <v>149</v>
      </c>
      <c r="G44" s="14"/>
      <c r="H44" s="14"/>
      <c r="I44" s="16">
        <v>22000</v>
      </c>
      <c r="J44" s="16">
        <v>240</v>
      </c>
      <c r="K44" s="18">
        <v>142</v>
      </c>
      <c r="L44" s="18">
        <v>540</v>
      </c>
      <c r="M44" s="17">
        <v>0.263</v>
      </c>
      <c r="N44" s="17">
        <v>0.13</v>
      </c>
      <c r="O44" s="33">
        <v>0.09</v>
      </c>
    </row>
    <row r="45" ht="19.5" customHeight="1" spans="1:15" x14ac:dyDescent="0.25">
      <c r="A45" s="8" t="s">
        <v>89</v>
      </c>
      <c r="B45" s="8" t="s">
        <v>32</v>
      </c>
      <c r="C45" s="40" t="s">
        <v>33</v>
      </c>
      <c r="D45" s="8" t="s">
        <v>55</v>
      </c>
      <c r="E45" s="8" t="s">
        <v>62</v>
      </c>
      <c r="F45" s="40" t="s">
        <v>150</v>
      </c>
      <c r="G45" s="8"/>
      <c r="H45" s="8"/>
      <c r="I45" s="10">
        <v>20000</v>
      </c>
      <c r="J45" s="10">
        <v>228</v>
      </c>
      <c r="K45" s="12">
        <v>136</v>
      </c>
      <c r="L45" s="12">
        <v>520</v>
      </c>
      <c r="M45" s="11">
        <v>0.262</v>
      </c>
      <c r="N45" s="11">
        <v>0.13</v>
      </c>
      <c r="O45" s="29">
        <v>0.09</v>
      </c>
    </row>
    <row r="46" ht="19.5" customHeight="1" spans="1:15" x14ac:dyDescent="0.25">
      <c r="A46" s="14" t="s">
        <v>89</v>
      </c>
      <c r="B46" s="14" t="s">
        <v>32</v>
      </c>
      <c r="C46" s="41" t="s">
        <v>33</v>
      </c>
      <c r="D46" s="14" t="s">
        <v>55</v>
      </c>
      <c r="E46" s="14" t="s">
        <v>62</v>
      </c>
      <c r="F46" s="41" t="s">
        <v>151</v>
      </c>
      <c r="G46" s="14"/>
      <c r="H46" s="14"/>
      <c r="I46" s="16">
        <v>16000</v>
      </c>
      <c r="J46" s="16">
        <v>172</v>
      </c>
      <c r="K46" s="18">
        <v>102</v>
      </c>
      <c r="L46" s="18">
        <v>380</v>
      </c>
      <c r="M46" s="17">
        <v>0.268</v>
      </c>
      <c r="N46" s="17">
        <v>0.13</v>
      </c>
      <c r="O46" s="33">
        <v>0.09</v>
      </c>
    </row>
    <row r="47" ht="19.5" customHeight="1" spans="1:15" x14ac:dyDescent="0.25">
      <c r="A47" s="8" t="s">
        <v>91</v>
      </c>
      <c r="B47" s="8" t="s">
        <v>32</v>
      </c>
      <c r="C47" s="40" t="s">
        <v>33</v>
      </c>
      <c r="D47" s="8" t="s">
        <v>55</v>
      </c>
      <c r="E47" s="8" t="s">
        <v>59</v>
      </c>
      <c r="F47" s="40" t="s">
        <v>143</v>
      </c>
      <c r="G47" s="8">
        <v>2</v>
      </c>
      <c r="H47" s="10">
        <v>64000</v>
      </c>
      <c r="I47" s="10">
        <v>58000</v>
      </c>
      <c r="J47" s="10">
        <v>640</v>
      </c>
      <c r="K47" s="12">
        <v>460</v>
      </c>
      <c r="L47" s="12">
        <v>1120</v>
      </c>
      <c r="M47" s="11">
        <v>0.411</v>
      </c>
      <c r="N47" s="11">
        <v>0.11</v>
      </c>
      <c r="O47" s="29">
        <v>0.14</v>
      </c>
    </row>
    <row r="48" ht="19.5" customHeight="1" spans="1:15" x14ac:dyDescent="0.25">
      <c r="A48" s="14" t="s">
        <v>91</v>
      </c>
      <c r="B48" s="14" t="s">
        <v>32</v>
      </c>
      <c r="C48" s="41" t="s">
        <v>33</v>
      </c>
      <c r="D48" s="14" t="s">
        <v>55</v>
      </c>
      <c r="E48" s="14" t="s">
        <v>59</v>
      </c>
      <c r="F48" s="41" t="s">
        <v>152</v>
      </c>
      <c r="G48" s="14"/>
      <c r="H48" s="14"/>
      <c r="I48" s="16">
        <v>52000</v>
      </c>
      <c r="J48" s="16">
        <v>680</v>
      </c>
      <c r="K48" s="18">
        <v>540</v>
      </c>
      <c r="L48" s="18">
        <v>80</v>
      </c>
      <c r="M48" s="17">
        <v>6.75</v>
      </c>
      <c r="N48" s="17">
        <v>0.01</v>
      </c>
      <c r="O48" s="33">
        <v>0.14</v>
      </c>
    </row>
    <row r="49" ht="19.5" customHeight="1" spans="1:15" x14ac:dyDescent="0.25">
      <c r="A49" s="8" t="s">
        <v>91</v>
      </c>
      <c r="B49" s="8" t="s">
        <v>32</v>
      </c>
      <c r="C49" s="40" t="s">
        <v>33</v>
      </c>
      <c r="D49" s="8" t="s">
        <v>55</v>
      </c>
      <c r="E49" s="8" t="s">
        <v>59</v>
      </c>
      <c r="F49" s="40" t="s">
        <v>153</v>
      </c>
      <c r="G49" s="8">
        <v>18</v>
      </c>
      <c r="H49" s="10">
        <v>8400</v>
      </c>
      <c r="I49" s="10">
        <v>58000</v>
      </c>
      <c r="J49" s="10">
        <v>520</v>
      </c>
      <c r="K49" s="12">
        <v>380</v>
      </c>
      <c r="L49" s="12">
        <v>1280</v>
      </c>
      <c r="M49" s="11">
        <v>0.297</v>
      </c>
      <c r="N49" s="11">
        <v>0.12</v>
      </c>
      <c r="O49" s="29">
        <v>0.14</v>
      </c>
    </row>
    <row r="50" ht="19.5" customHeight="1" spans="1:15" x14ac:dyDescent="0.25">
      <c r="A50" s="14" t="s">
        <v>93</v>
      </c>
      <c r="B50" s="14" t="s">
        <v>34</v>
      </c>
      <c r="C50" s="41" t="s">
        <v>35</v>
      </c>
      <c r="D50" s="14" t="s">
        <v>55</v>
      </c>
      <c r="E50" s="14" t="s">
        <v>56</v>
      </c>
      <c r="F50" s="41" t="s">
        <v>154</v>
      </c>
      <c r="G50" s="14">
        <v>2</v>
      </c>
      <c r="H50" s="16">
        <v>48000</v>
      </c>
      <c r="I50" s="16">
        <v>44000</v>
      </c>
      <c r="J50" s="16">
        <v>610</v>
      </c>
      <c r="K50" s="18">
        <v>362</v>
      </c>
      <c r="L50" s="18">
        <v>1480</v>
      </c>
      <c r="M50" s="17">
        <v>0.245</v>
      </c>
      <c r="N50" s="17">
        <v>0.21</v>
      </c>
      <c r="O50" s="33">
        <v>0.78</v>
      </c>
    </row>
    <row r="51" ht="19.5" customHeight="1" spans="1:15" x14ac:dyDescent="0.25">
      <c r="A51" s="8" t="s">
        <v>93</v>
      </c>
      <c r="B51" s="8" t="s">
        <v>34</v>
      </c>
      <c r="C51" s="40" t="s">
        <v>35</v>
      </c>
      <c r="D51" s="8" t="s">
        <v>55</v>
      </c>
      <c r="E51" s="8" t="s">
        <v>56</v>
      </c>
      <c r="F51" s="40" t="s">
        <v>155</v>
      </c>
      <c r="G51" s="8">
        <v>4</v>
      </c>
      <c r="H51" s="10">
        <v>36000</v>
      </c>
      <c r="I51" s="10">
        <v>28000</v>
      </c>
      <c r="J51" s="10">
        <v>380</v>
      </c>
      <c r="K51" s="12">
        <v>228</v>
      </c>
      <c r="L51" s="12">
        <v>920</v>
      </c>
      <c r="M51" s="11">
        <v>0.248</v>
      </c>
      <c r="N51" s="11">
        <v>0.2</v>
      </c>
      <c r="O51" s="29">
        <v>0.78</v>
      </c>
    </row>
    <row r="52" ht="19.5" customHeight="1" spans="1:15" x14ac:dyDescent="0.25">
      <c r="A52" s="14" t="s">
        <v>93</v>
      </c>
      <c r="B52" s="14" t="s">
        <v>34</v>
      </c>
      <c r="C52" s="41" t="s">
        <v>35</v>
      </c>
      <c r="D52" s="14" t="s">
        <v>55</v>
      </c>
      <c r="E52" s="14" t="s">
        <v>56</v>
      </c>
      <c r="F52" s="41" t="s">
        <v>156</v>
      </c>
      <c r="G52" s="14">
        <v>3</v>
      </c>
      <c r="H52" s="16">
        <v>24000</v>
      </c>
      <c r="I52" s="16">
        <v>16600</v>
      </c>
      <c r="J52" s="16">
        <v>220</v>
      </c>
      <c r="K52" s="18">
        <v>130</v>
      </c>
      <c r="L52" s="18">
        <v>533</v>
      </c>
      <c r="M52" s="17">
        <v>0.244</v>
      </c>
      <c r="N52" s="17">
        <v>0.21</v>
      </c>
      <c r="O52" s="33">
        <v>0.78</v>
      </c>
    </row>
    <row r="53" ht="19.5" customHeight="1" spans="1:15" x14ac:dyDescent="0.25">
      <c r="A53" s="8" t="s">
        <v>95</v>
      </c>
      <c r="B53" s="8" t="s">
        <v>34</v>
      </c>
      <c r="C53" s="40" t="s">
        <v>35</v>
      </c>
      <c r="D53" s="8" t="s">
        <v>65</v>
      </c>
      <c r="E53" s="8" t="s">
        <v>56</v>
      </c>
      <c r="F53" s="40" t="s">
        <v>154</v>
      </c>
      <c r="G53" s="8">
        <v>2</v>
      </c>
      <c r="H53" s="10">
        <v>48000</v>
      </c>
      <c r="I53" s="10">
        <v>52000</v>
      </c>
      <c r="J53" s="10">
        <v>460</v>
      </c>
      <c r="K53" s="12">
        <v>208</v>
      </c>
      <c r="L53" s="12">
        <v>1300</v>
      </c>
      <c r="M53" s="11">
        <v>0.16</v>
      </c>
      <c r="N53" s="11">
        <v>0.21</v>
      </c>
      <c r="O53" s="29">
        <v>0.85</v>
      </c>
    </row>
    <row r="54" ht="19.5" customHeight="1" spans="1:15" x14ac:dyDescent="0.25">
      <c r="A54" s="14" t="s">
        <v>95</v>
      </c>
      <c r="B54" s="14" t="s">
        <v>34</v>
      </c>
      <c r="C54" s="41" t="s">
        <v>35</v>
      </c>
      <c r="D54" s="14" t="s">
        <v>65</v>
      </c>
      <c r="E54" s="14" t="s">
        <v>56</v>
      </c>
      <c r="F54" s="41" t="s">
        <v>157</v>
      </c>
      <c r="G54" s="14"/>
      <c r="H54" s="14"/>
      <c r="I54" s="16">
        <v>32000</v>
      </c>
      <c r="J54" s="16">
        <v>300</v>
      </c>
      <c r="K54" s="18">
        <v>132</v>
      </c>
      <c r="L54" s="18">
        <v>840</v>
      </c>
      <c r="M54" s="17">
        <v>0.157</v>
      </c>
      <c r="N54" s="17">
        <v>0.22</v>
      </c>
      <c r="O54" s="33">
        <v>0.85</v>
      </c>
    </row>
    <row r="55" ht="19.5" customHeight="1" spans="1:15" x14ac:dyDescent="0.25">
      <c r="A55" s="8" t="s">
        <v>95</v>
      </c>
      <c r="B55" s="8" t="s">
        <v>34</v>
      </c>
      <c r="C55" s="40" t="s">
        <v>35</v>
      </c>
      <c r="D55" s="8" t="s">
        <v>65</v>
      </c>
      <c r="E55" s="8" t="s">
        <v>56</v>
      </c>
      <c r="F55" s="40" t="s">
        <v>158</v>
      </c>
      <c r="G55" s="8"/>
      <c r="H55" s="8"/>
      <c r="I55" s="10">
        <v>28000</v>
      </c>
      <c r="J55" s="10">
        <v>220</v>
      </c>
      <c r="K55" s="12">
        <v>100</v>
      </c>
      <c r="L55" s="12">
        <v>620</v>
      </c>
      <c r="M55" s="11">
        <v>0.161</v>
      </c>
      <c r="N55" s="11">
        <v>0.2</v>
      </c>
      <c r="O55" s="29">
        <v>0.85</v>
      </c>
    </row>
    <row r="56" ht="19.5" customHeight="1" spans="1:15" x14ac:dyDescent="0.25">
      <c r="A56" s="14" t="s">
        <v>97</v>
      </c>
      <c r="B56" s="14" t="s">
        <v>34</v>
      </c>
      <c r="C56" s="41" t="s">
        <v>35</v>
      </c>
      <c r="D56" s="14" t="s">
        <v>55</v>
      </c>
      <c r="E56" s="14" t="s">
        <v>70</v>
      </c>
      <c r="F56" s="41" t="s">
        <v>159</v>
      </c>
      <c r="G56" s="14">
        <v>2</v>
      </c>
      <c r="H56" s="16">
        <v>48000</v>
      </c>
      <c r="I56" s="16">
        <v>28000</v>
      </c>
      <c r="J56" s="16">
        <v>360</v>
      </c>
      <c r="K56" s="18">
        <v>248</v>
      </c>
      <c r="L56" s="18">
        <v>700</v>
      </c>
      <c r="M56" s="17">
        <v>0.354</v>
      </c>
      <c r="N56" s="17">
        <v>0.14</v>
      </c>
      <c r="O56" s="33">
        <v>0.24</v>
      </c>
    </row>
    <row r="57" ht="19.5" customHeight="1" spans="1:15" x14ac:dyDescent="0.25">
      <c r="A57" s="8" t="s">
        <v>97</v>
      </c>
      <c r="B57" s="8" t="s">
        <v>34</v>
      </c>
      <c r="C57" s="40" t="s">
        <v>35</v>
      </c>
      <c r="D57" s="8" t="s">
        <v>55</v>
      </c>
      <c r="E57" s="8" t="s">
        <v>70</v>
      </c>
      <c r="F57" s="40" t="s">
        <v>160</v>
      </c>
      <c r="G57" s="8">
        <v>11</v>
      </c>
      <c r="H57" s="10">
        <v>9200</v>
      </c>
      <c r="I57" s="10">
        <v>20000</v>
      </c>
      <c r="J57" s="10">
        <v>280</v>
      </c>
      <c r="K57" s="12">
        <v>192</v>
      </c>
      <c r="L57" s="12">
        <v>560</v>
      </c>
      <c r="M57" s="11">
        <v>0.343</v>
      </c>
      <c r="N57" s="11">
        <v>0.16</v>
      </c>
      <c r="O57" s="29">
        <v>0.24</v>
      </c>
    </row>
    <row r="58" ht="19.5" customHeight="1" spans="1:15" x14ac:dyDescent="0.25">
      <c r="A58" s="14" t="s">
        <v>97</v>
      </c>
      <c r="B58" s="14" t="s">
        <v>34</v>
      </c>
      <c r="C58" s="41" t="s">
        <v>35</v>
      </c>
      <c r="D58" s="14" t="s">
        <v>55</v>
      </c>
      <c r="E58" s="14" t="s">
        <v>70</v>
      </c>
      <c r="F58" s="41" t="s">
        <v>161</v>
      </c>
      <c r="G58" s="14">
        <v>18</v>
      </c>
      <c r="H58" s="16">
        <v>14000</v>
      </c>
      <c r="I58" s="16">
        <v>16000</v>
      </c>
      <c r="J58" s="16">
        <v>180</v>
      </c>
      <c r="K58" s="18">
        <v>120</v>
      </c>
      <c r="L58" s="18">
        <v>360</v>
      </c>
      <c r="M58" s="17">
        <v>0.333</v>
      </c>
      <c r="N58" s="17">
        <v>0.14</v>
      </c>
      <c r="O58" s="33">
        <v>0.24</v>
      </c>
    </row>
    <row r="59" ht="19.5" customHeight="1" spans="1:15" x14ac:dyDescent="0.25">
      <c r="A59" s="8" t="s">
        <v>99</v>
      </c>
      <c r="B59" s="8" t="s">
        <v>34</v>
      </c>
      <c r="C59" s="40" t="s">
        <v>35</v>
      </c>
      <c r="D59" s="8" t="s">
        <v>73</v>
      </c>
      <c r="E59" s="8" t="s">
        <v>74</v>
      </c>
      <c r="F59" s="40" t="s">
        <v>162</v>
      </c>
      <c r="G59" s="8"/>
      <c r="H59" s="8"/>
      <c r="I59" s="10">
        <v>96000</v>
      </c>
      <c r="J59" s="10">
        <v>380</v>
      </c>
      <c r="K59" s="12">
        <v>164</v>
      </c>
      <c r="L59" s="12">
        <v>440</v>
      </c>
      <c r="M59" s="11">
        <v>0.373</v>
      </c>
      <c r="N59" s="11">
        <v>0.09</v>
      </c>
      <c r="O59" s="29">
        <v>0.06</v>
      </c>
    </row>
    <row r="60" ht="19.5" customHeight="1" spans="1:15" x14ac:dyDescent="0.25">
      <c r="A60" s="14" t="s">
        <v>99</v>
      </c>
      <c r="B60" s="14" t="s">
        <v>34</v>
      </c>
      <c r="C60" s="41" t="s">
        <v>35</v>
      </c>
      <c r="D60" s="14" t="s">
        <v>73</v>
      </c>
      <c r="E60" s="14" t="s">
        <v>74</v>
      </c>
      <c r="F60" s="41" t="s">
        <v>163</v>
      </c>
      <c r="G60" s="14"/>
      <c r="H60" s="14"/>
      <c r="I60" s="16">
        <v>54000</v>
      </c>
      <c r="J60" s="16">
        <v>220</v>
      </c>
      <c r="K60" s="18">
        <v>96</v>
      </c>
      <c r="L60" s="18">
        <v>240</v>
      </c>
      <c r="M60" s="17">
        <v>0.4</v>
      </c>
      <c r="N60" s="17">
        <v>0.08</v>
      </c>
      <c r="O60" s="33">
        <v>0.06</v>
      </c>
    </row>
    <row r="61" ht="19.5" customHeight="1" spans="1:15" x14ac:dyDescent="0.25">
      <c r="A61" s="8" t="s">
        <v>99</v>
      </c>
      <c r="B61" s="8" t="s">
        <v>34</v>
      </c>
      <c r="C61" s="40" t="s">
        <v>35</v>
      </c>
      <c r="D61" s="8" t="s">
        <v>73</v>
      </c>
      <c r="E61" s="8" t="s">
        <v>74</v>
      </c>
      <c r="F61" s="40" t="s">
        <v>131</v>
      </c>
      <c r="G61" s="8"/>
      <c r="H61" s="8"/>
      <c r="I61" s="10">
        <v>36000</v>
      </c>
      <c r="J61" s="10">
        <v>140</v>
      </c>
      <c r="K61" s="12">
        <v>60</v>
      </c>
      <c r="L61" s="12">
        <v>180</v>
      </c>
      <c r="M61" s="11">
        <v>0.333</v>
      </c>
      <c r="N61" s="11">
        <v>0.09</v>
      </c>
      <c r="O61" s="29">
        <v>0.06</v>
      </c>
    </row>
    <row r="62" ht="19.5" customHeight="1" spans="1:15" x14ac:dyDescent="0.25">
      <c r="A62" s="14" t="s">
        <v>101</v>
      </c>
      <c r="B62" s="14" t="s">
        <v>36</v>
      </c>
      <c r="C62" s="41" t="s">
        <v>37</v>
      </c>
      <c r="D62" s="14" t="s">
        <v>55</v>
      </c>
      <c r="E62" s="14" t="s">
        <v>56</v>
      </c>
      <c r="F62" s="41" t="s">
        <v>164</v>
      </c>
      <c r="G62" s="14">
        <v>18</v>
      </c>
      <c r="H62" s="16">
        <v>62000</v>
      </c>
      <c r="I62" s="16">
        <v>18000</v>
      </c>
      <c r="J62" s="16">
        <v>228</v>
      </c>
      <c r="K62" s="18">
        <v>136</v>
      </c>
      <c r="L62" s="18">
        <v>280</v>
      </c>
      <c r="M62" s="17">
        <v>0.486</v>
      </c>
      <c r="N62" s="17">
        <v>0.16</v>
      </c>
      <c r="O62" s="33">
        <v>0.52</v>
      </c>
    </row>
    <row r="63" ht="19.5" customHeight="1" spans="1:15" x14ac:dyDescent="0.25">
      <c r="A63" s="8" t="s">
        <v>101</v>
      </c>
      <c r="B63" s="8" t="s">
        <v>36</v>
      </c>
      <c r="C63" s="40" t="s">
        <v>37</v>
      </c>
      <c r="D63" s="8" t="s">
        <v>55</v>
      </c>
      <c r="E63" s="8" t="s">
        <v>56</v>
      </c>
      <c r="F63" s="40" t="s">
        <v>165</v>
      </c>
      <c r="G63" s="8">
        <v>22</v>
      </c>
      <c r="H63" s="10">
        <v>28000</v>
      </c>
      <c r="I63" s="10">
        <v>14000</v>
      </c>
      <c r="J63" s="10">
        <v>180</v>
      </c>
      <c r="K63" s="12">
        <v>108</v>
      </c>
      <c r="L63" s="12">
        <v>220</v>
      </c>
      <c r="M63" s="11">
        <v>0.491</v>
      </c>
      <c r="N63" s="11">
        <v>0.15</v>
      </c>
      <c r="O63" s="29">
        <v>0.52</v>
      </c>
    </row>
    <row r="64" ht="19.5" customHeight="1" spans="1:15" x14ac:dyDescent="0.25">
      <c r="A64" s="14" t="s">
        <v>101</v>
      </c>
      <c r="B64" s="14" t="s">
        <v>36</v>
      </c>
      <c r="C64" s="41" t="s">
        <v>37</v>
      </c>
      <c r="D64" s="14" t="s">
        <v>55</v>
      </c>
      <c r="E64" s="14" t="s">
        <v>56</v>
      </c>
      <c r="F64" s="41" t="s">
        <v>166</v>
      </c>
      <c r="G64" s="14">
        <v>26</v>
      </c>
      <c r="H64" s="16">
        <v>18000</v>
      </c>
      <c r="I64" s="16">
        <v>9800</v>
      </c>
      <c r="J64" s="16">
        <v>112</v>
      </c>
      <c r="K64" s="18">
        <v>66</v>
      </c>
      <c r="L64" s="18">
        <v>140</v>
      </c>
      <c r="M64" s="17">
        <v>0.471</v>
      </c>
      <c r="N64" s="17">
        <v>0.15</v>
      </c>
      <c r="O64" s="33">
        <v>0.52</v>
      </c>
    </row>
    <row r="65" ht="19.5" customHeight="1" spans="1:15" x14ac:dyDescent="0.25">
      <c r="A65" s="8" t="s">
        <v>103</v>
      </c>
      <c r="B65" s="8" t="s">
        <v>36</v>
      </c>
      <c r="C65" s="40" t="s">
        <v>37</v>
      </c>
      <c r="D65" s="8" t="s">
        <v>55</v>
      </c>
      <c r="E65" s="8" t="s">
        <v>59</v>
      </c>
      <c r="F65" s="40" t="s">
        <v>167</v>
      </c>
      <c r="G65" s="8">
        <v>28</v>
      </c>
      <c r="H65" s="10">
        <v>14000</v>
      </c>
      <c r="I65" s="10">
        <v>24000</v>
      </c>
      <c r="J65" s="10">
        <v>298</v>
      </c>
      <c r="K65" s="12">
        <v>206</v>
      </c>
      <c r="L65" s="12">
        <v>380</v>
      </c>
      <c r="M65" s="11">
        <v>0.542</v>
      </c>
      <c r="N65" s="11">
        <v>0.12</v>
      </c>
      <c r="O65" s="29">
        <v>0.18</v>
      </c>
    </row>
    <row r="66" ht="19.5" customHeight="1" spans="1:15" x14ac:dyDescent="0.25">
      <c r="A66" s="14" t="s">
        <v>103</v>
      </c>
      <c r="B66" s="14" t="s">
        <v>36</v>
      </c>
      <c r="C66" s="41" t="s">
        <v>37</v>
      </c>
      <c r="D66" s="14" t="s">
        <v>55</v>
      </c>
      <c r="E66" s="14" t="s">
        <v>59</v>
      </c>
      <c r="F66" s="41" t="s">
        <v>168</v>
      </c>
      <c r="G66" s="14">
        <v>31</v>
      </c>
      <c r="H66" s="16">
        <v>9400</v>
      </c>
      <c r="I66" s="16">
        <v>26000</v>
      </c>
      <c r="J66" s="16">
        <v>318</v>
      </c>
      <c r="K66" s="18">
        <v>218</v>
      </c>
      <c r="L66" s="18">
        <v>400</v>
      </c>
      <c r="M66" s="17">
        <v>0.545</v>
      </c>
      <c r="N66" s="17">
        <v>0.12</v>
      </c>
      <c r="O66" s="33">
        <v>0.18</v>
      </c>
    </row>
    <row r="67" ht="19.5" customHeight="1" spans="1:15" x14ac:dyDescent="0.25">
      <c r="A67" s="8" t="s">
        <v>103</v>
      </c>
      <c r="B67" s="8" t="s">
        <v>36</v>
      </c>
      <c r="C67" s="40" t="s">
        <v>37</v>
      </c>
      <c r="D67" s="8" t="s">
        <v>55</v>
      </c>
      <c r="E67" s="8" t="s">
        <v>59</v>
      </c>
      <c r="F67" s="40" t="s">
        <v>169</v>
      </c>
      <c r="G67" s="8">
        <v>24</v>
      </c>
      <c r="H67" s="10">
        <v>22000</v>
      </c>
      <c r="I67" s="10">
        <v>18000</v>
      </c>
      <c r="J67" s="10">
        <v>204</v>
      </c>
      <c r="K67" s="12">
        <v>136</v>
      </c>
      <c r="L67" s="12">
        <v>260</v>
      </c>
      <c r="M67" s="11">
        <v>0.523</v>
      </c>
      <c r="N67" s="11">
        <v>0.12</v>
      </c>
      <c r="O67" s="29">
        <v>0.18</v>
      </c>
    </row>
    <row r="68" ht="19.5" customHeight="1" spans="1:15" x14ac:dyDescent="0.25">
      <c r="A68" s="14" t="s">
        <v>105</v>
      </c>
      <c r="B68" s="14" t="s">
        <v>36</v>
      </c>
      <c r="C68" s="41" t="s">
        <v>37</v>
      </c>
      <c r="D68" s="14" t="s">
        <v>55</v>
      </c>
      <c r="E68" s="14" t="s">
        <v>84</v>
      </c>
      <c r="F68" s="41" t="s">
        <v>170</v>
      </c>
      <c r="G68" s="14"/>
      <c r="H68" s="16">
        <v>8200</v>
      </c>
      <c r="I68" s="16">
        <v>32000</v>
      </c>
      <c r="J68" s="16">
        <v>300</v>
      </c>
      <c r="K68" s="18">
        <v>192</v>
      </c>
      <c r="L68" s="18">
        <v>320</v>
      </c>
      <c r="M68" s="17">
        <v>0.6</v>
      </c>
      <c r="N68" s="17">
        <v>0.1</v>
      </c>
      <c r="O68" s="33">
        <v>0.08</v>
      </c>
    </row>
    <row r="69" ht="19.5" customHeight="1" spans="1:15" x14ac:dyDescent="0.25">
      <c r="A69" s="8" t="s">
        <v>105</v>
      </c>
      <c r="B69" s="8" t="s">
        <v>36</v>
      </c>
      <c r="C69" s="40" t="s">
        <v>37</v>
      </c>
      <c r="D69" s="8" t="s">
        <v>55</v>
      </c>
      <c r="E69" s="8" t="s">
        <v>84</v>
      </c>
      <c r="F69" s="40" t="s">
        <v>171</v>
      </c>
      <c r="G69" s="8">
        <v>38</v>
      </c>
      <c r="H69" s="10">
        <v>32000</v>
      </c>
      <c r="I69" s="10">
        <v>28000</v>
      </c>
      <c r="J69" s="10">
        <v>260</v>
      </c>
      <c r="K69" s="12">
        <v>166</v>
      </c>
      <c r="L69" s="12">
        <v>280</v>
      </c>
      <c r="M69" s="11">
        <v>0.593</v>
      </c>
      <c r="N69" s="11">
        <v>0.1</v>
      </c>
      <c r="O69" s="29">
        <v>0.08</v>
      </c>
    </row>
    <row r="70" ht="19.5" customHeight="1" spans="1:15" x14ac:dyDescent="0.25">
      <c r="A70" s="14" t="s">
        <v>105</v>
      </c>
      <c r="B70" s="14" t="s">
        <v>36</v>
      </c>
      <c r="C70" s="41" t="s">
        <v>37</v>
      </c>
      <c r="D70" s="14" t="s">
        <v>55</v>
      </c>
      <c r="E70" s="14" t="s">
        <v>84</v>
      </c>
      <c r="F70" s="41" t="s">
        <v>172</v>
      </c>
      <c r="G70" s="14">
        <v>33</v>
      </c>
      <c r="H70" s="16">
        <v>18400</v>
      </c>
      <c r="I70" s="16">
        <v>24000</v>
      </c>
      <c r="J70" s="16">
        <v>200</v>
      </c>
      <c r="K70" s="18">
        <v>122</v>
      </c>
      <c r="L70" s="18">
        <v>220</v>
      </c>
      <c r="M70" s="17">
        <v>0.555</v>
      </c>
      <c r="N70" s="17">
        <v>0.1</v>
      </c>
      <c r="O70" s="33">
        <v>0.08</v>
      </c>
    </row>
    <row r="71" ht="19.5" customHeight="1" spans="1:15" x14ac:dyDescent="0.25">
      <c r="A71" s="8" t="s">
        <v>107</v>
      </c>
      <c r="B71" s="8" t="s">
        <v>36</v>
      </c>
      <c r="C71" s="40" t="s">
        <v>37</v>
      </c>
      <c r="D71" s="8" t="s">
        <v>65</v>
      </c>
      <c r="E71" s="8" t="s">
        <v>70</v>
      </c>
      <c r="F71" s="40" t="s">
        <v>173</v>
      </c>
      <c r="G71" s="8">
        <v>18</v>
      </c>
      <c r="H71" s="10">
        <v>62000</v>
      </c>
      <c r="I71" s="10">
        <v>22000</v>
      </c>
      <c r="J71" s="10">
        <v>162</v>
      </c>
      <c r="K71" s="12">
        <v>102</v>
      </c>
      <c r="L71" s="12">
        <v>178</v>
      </c>
      <c r="M71" s="11">
        <v>0.573</v>
      </c>
      <c r="N71" s="11">
        <v>0.12</v>
      </c>
      <c r="O71" s="29">
        <v>0.38</v>
      </c>
    </row>
    <row r="72" ht="19.5" customHeight="1" spans="1:15" x14ac:dyDescent="0.25">
      <c r="A72" s="14" t="s">
        <v>107</v>
      </c>
      <c r="B72" s="14" t="s">
        <v>36</v>
      </c>
      <c r="C72" s="41" t="s">
        <v>37</v>
      </c>
      <c r="D72" s="14" t="s">
        <v>65</v>
      </c>
      <c r="E72" s="14" t="s">
        <v>70</v>
      </c>
      <c r="F72" s="41" t="s">
        <v>174</v>
      </c>
      <c r="G72" s="14">
        <v>29</v>
      </c>
      <c r="H72" s="16">
        <v>6400</v>
      </c>
      <c r="I72" s="16">
        <v>18000</v>
      </c>
      <c r="J72" s="16">
        <v>134</v>
      </c>
      <c r="K72" s="18">
        <v>84</v>
      </c>
      <c r="L72" s="18">
        <v>148</v>
      </c>
      <c r="M72" s="17">
        <v>0.568</v>
      </c>
      <c r="N72" s="17">
        <v>0.11</v>
      </c>
      <c r="O72" s="33">
        <v>0.38</v>
      </c>
    </row>
    <row r="73" ht="19.5" customHeight="1" spans="1:15" x14ac:dyDescent="0.25">
      <c r="A73" s="8" t="s">
        <v>107</v>
      </c>
      <c r="B73" s="8" t="s">
        <v>36</v>
      </c>
      <c r="C73" s="40" t="s">
        <v>37</v>
      </c>
      <c r="D73" s="8" t="s">
        <v>65</v>
      </c>
      <c r="E73" s="8" t="s">
        <v>70</v>
      </c>
      <c r="F73" s="40" t="s">
        <v>175</v>
      </c>
      <c r="G73" s="8">
        <v>25</v>
      </c>
      <c r="H73" s="10">
        <v>7800</v>
      </c>
      <c r="I73" s="10">
        <v>12000</v>
      </c>
      <c r="J73" s="10">
        <v>84</v>
      </c>
      <c r="K73" s="12">
        <v>54</v>
      </c>
      <c r="L73" s="12">
        <v>94</v>
      </c>
      <c r="M73" s="11">
        <v>0.574</v>
      </c>
      <c r="N73" s="11">
        <v>0.12</v>
      </c>
      <c r="O73" s="29">
        <v>0.38</v>
      </c>
    </row>
    <row r="74" ht="19.5" customHeight="1" spans="1:15" x14ac:dyDescent="0.25">
      <c r="A74" s="20" t="s">
        <v>38</v>
      </c>
      <c r="B74" s="20"/>
      <c r="C74" s="20"/>
      <c r="D74" s="20"/>
      <c r="E74" s="20"/>
      <c r="I74" s="21">
        <f>SUM(I5:I73)</f>
        <v>2475600</v>
      </c>
      <c r="J74" s="21">
        <f>SUM(J5:J73)</f>
        <v>24738</v>
      </c>
      <c r="K74" s="23">
        <f>SUM(K5:K73)</f>
        <v>15904</v>
      </c>
      <c r="L74" s="23">
        <f>SUM(L5:L73)</f>
        <v>47807</v>
      </c>
      <c r="M74" s="22">
        <f>AVERAGE(M5:M73)</f>
        <v>0.505623188405797</v>
      </c>
      <c r="N74" s="22">
        <f>AVERAGE(N5:N73)</f>
        <v>0.137246376811594</v>
      </c>
      <c r="O74" s="37">
        <f>AVERAGE(O5:O73)</f>
        <v>0.380434782608696</v>
      </c>
    </row>
  </sheetData>
  <mergeCells count="2">
    <mergeCell ref="A1:O1"/>
    <mergeCell ref="A74:E7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Ad Campaign Report</vt:lpstr>
      <vt:lpstr>Search Term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2026-04-08T08:09:08Z</dcterms:created>
  <dcterms:modified xsi:type="dcterms:W3CDTF">2026-04-08T08:09:09Z</dcterms:modified>
</cp:coreProperties>
</file>